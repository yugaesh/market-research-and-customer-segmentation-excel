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5f8de44282b7fb6/Desktop/"/>
    </mc:Choice>
  </mc:AlternateContent>
  <xr:revisionPtr revIDLastSave="1651" documentId="8_{EC502A2C-7B70-4C96-80E9-53754552F3C0}" xr6:coauthVersionLast="47" xr6:coauthVersionMax="47" xr10:uidLastSave="{36C60529-8977-44EB-B9E9-F181A20F3427}"/>
  <bookViews>
    <workbookView xWindow="-108" yWindow="-108" windowWidth="23256" windowHeight="13896" activeTab="5" xr2:uid="{7EBCB321-A1F0-485F-99A2-9833ED1E25CC}"/>
  </bookViews>
  <sheets>
    <sheet name="Raw Data" sheetId="1" r:id="rId1"/>
    <sheet name="Cleaned data" sheetId="2" r:id="rId2"/>
    <sheet name="Segmentation" sheetId="3" r:id="rId3"/>
    <sheet name="KPI " sheetId="4" r:id="rId4"/>
    <sheet name="Pivot" sheetId="5" r:id="rId5"/>
    <sheet name="Dashboard" sheetId="7" r:id="rId6"/>
  </sheets>
  <definedNames>
    <definedName name="NativeTimeline_Last_Purchase">#N/A</definedName>
    <definedName name="Slicer_Channel">#N/A</definedName>
    <definedName name="Slicer_City">#N/A</definedName>
    <definedName name="Slicer_Customer_Segment">#N/A</definedName>
    <definedName name="Slicer_Retention_Status">#N/A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 l="1"/>
  <c r="B10" i="4"/>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B2" i="4"/>
  <c r="B9" i="4"/>
  <c r="B8" i="4"/>
  <c r="B7" i="4"/>
  <c r="B6" i="4"/>
  <c r="B5" i="4"/>
  <c r="B4" i="4"/>
  <c r="B3" i="4"/>
</calcChain>
</file>

<file path=xl/sharedStrings.xml><?xml version="1.0" encoding="utf-8"?>
<sst xmlns="http://schemas.openxmlformats.org/spreadsheetml/2006/main" count="2922" uniqueCount="171">
  <si>
    <t>Customer ID</t>
  </si>
  <si>
    <t>Age</t>
  </si>
  <si>
    <t>Gender</t>
  </si>
  <si>
    <t>City</t>
  </si>
  <si>
    <t>Income</t>
  </si>
  <si>
    <t>Occupation</t>
  </si>
  <si>
    <t>Purchase Frequency</t>
  </si>
  <si>
    <t>Avg Order Value</t>
  </si>
  <si>
    <t>Total Spending</t>
  </si>
  <si>
    <t>Category</t>
  </si>
  <si>
    <t>Channel</t>
  </si>
  <si>
    <t>Type</t>
  </si>
  <si>
    <t>Engagement</t>
  </si>
  <si>
    <t>Discount Sensitivity</t>
  </si>
  <si>
    <t>Last Purchase</t>
  </si>
  <si>
    <t>C001</t>
  </si>
  <si>
    <t>Male</t>
  </si>
  <si>
    <t>Chennai</t>
  </si>
  <si>
    <t>Student</t>
  </si>
  <si>
    <t>Electronics</t>
  </si>
  <si>
    <t>Online</t>
  </si>
  <si>
    <t>New</t>
  </si>
  <si>
    <t>High</t>
  </si>
  <si>
    <t>C002</t>
  </si>
  <si>
    <t>Female</t>
  </si>
  <si>
    <t>Bangalore</t>
  </si>
  <si>
    <t>IT</t>
  </si>
  <si>
    <t>Fashion</t>
  </si>
  <si>
    <t>Returning</t>
  </si>
  <si>
    <t>Medium</t>
  </si>
  <si>
    <t>C003</t>
  </si>
  <si>
    <t>Mumbai</t>
  </si>
  <si>
    <t>Manager</t>
  </si>
  <si>
    <t>Home</t>
  </si>
  <si>
    <t>Offline</t>
  </si>
  <si>
    <t>Low</t>
  </si>
  <si>
    <t>C004</t>
  </si>
  <si>
    <t>Delhi</t>
  </si>
  <si>
    <t>Teacher</t>
  </si>
  <si>
    <t>Beauty</t>
  </si>
  <si>
    <t>C005</t>
  </si>
  <si>
    <t>Hyderabad</t>
  </si>
  <si>
    <t>Engineer</t>
  </si>
  <si>
    <t>C006</t>
  </si>
  <si>
    <t>Pune</t>
  </si>
  <si>
    <t>Business</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</si>
  <si>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</si>
  <si>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</si>
  <si>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</si>
  <si>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</si>
  <si>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</si>
  <si>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</si>
  <si>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</si>
  <si>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</si>
  <si>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</si>
  <si>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</si>
  <si>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</si>
  <si>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</si>
  <si>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</si>
  <si>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</si>
  <si>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</si>
  <si>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</si>
  <si>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</si>
  <si>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</si>
  <si>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</si>
  <si>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</si>
  <si>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</si>
  <si>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</si>
  <si>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</si>
  <si>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</si>
  <si>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</si>
  <si>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</si>
  <si>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</si>
  <si>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</si>
  <si>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</si>
  <si>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</si>
  <si>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</si>
  <si>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</si>
  <si>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</si>
  <si>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</si>
  <si>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</si>
  <si>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</si>
  <si>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</si>
  <si>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</si>
  <si>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</si>
  <si>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</si>
  <si>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</si>
  <si>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</si>
  <si>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</si>
  <si>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</si>
  <si>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</si>
  <si>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</si>
  <si>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</si>
  <si>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</si>
  <si>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</si>
  <si>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</si>
  <si>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</si>
  <si>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</si>
  <si>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</si>
  <si>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</si>
  <si>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</si>
  <si>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</si>
  <si>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</si>
  <si>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</si>
  <si>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</si>
  <si>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</si>
  <si>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</si>
  <si>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</si>
  <si>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</si>
  <si>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</si>
  <si>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</si>
  <si>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</si>
  <si>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</si>
  <si>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</si>
  <si>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</si>
  <si>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</si>
  <si>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</si>
  <si>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</si>
  <si>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</si>
  <si>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</si>
  <si>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</si>
  <si>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</si>
  <si>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</si>
  <si>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</si>
  <si>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</si>
  <si>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</si>
  <si>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</si>
  <si>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</si>
  <si>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</si>
  <si>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</si>
  <si>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</si>
  <si>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</si>
  <si>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</si>
  <si>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</si>
  <si>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</si>
  <si>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</si>
  <si>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</si>
  <si>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</si>
  <si>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</si>
  <si>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</si>
  <si>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Spending Score</t>
  </si>
  <si>
    <t>Frequency Score</t>
  </si>
  <si>
    <t>Engagement Score</t>
  </si>
  <si>
    <t>Total Score</t>
  </si>
  <si>
    <t>Customer Segment</t>
  </si>
  <si>
    <t>Medium Value</t>
  </si>
  <si>
    <t>Low Value</t>
  </si>
  <si>
    <t>High Value</t>
  </si>
  <si>
    <t>Value</t>
  </si>
  <si>
    <t>KPI Name</t>
  </si>
  <si>
    <t>Total Customers</t>
  </si>
  <si>
    <t>Total Revenue</t>
  </si>
  <si>
    <t>Average Order Value</t>
  </si>
  <si>
    <t>High Value Customers</t>
  </si>
  <si>
    <t>Repeat Customer %</t>
  </si>
  <si>
    <t>High Value Revenue</t>
  </si>
  <si>
    <t>Medium Value Revenue</t>
  </si>
  <si>
    <t>Low Value Revenue</t>
  </si>
  <si>
    <t>Retention Status</t>
  </si>
  <si>
    <t>Retained Customers</t>
  </si>
  <si>
    <t>Retention Rate %</t>
  </si>
  <si>
    <t>Count of Customer ID</t>
  </si>
  <si>
    <t>Row Labels</t>
  </si>
  <si>
    <t>Grand Total</t>
  </si>
  <si>
    <t>Sum of Total Spending</t>
  </si>
  <si>
    <t>At Risk</t>
  </si>
  <si>
    <t>Retained</t>
  </si>
  <si>
    <t>Column Labels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</si>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</sst>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1" formatCode="dd/mmm/yyyy"/>
    <numFmt numFmtId="175" formatCode="&quot;₹&quot;\ #,##0.00"/>
    <numFmt numFmtId="177" formatCode="&quot;₹&quot;\ #,##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3"/>
      <color theme="1"/>
      <name val="Calibri"/>
      <family val="2"/>
    </font>
    <font>
      <b/>
      <sz val="15"/>
      <color theme="1"/>
      <name val="Calibri"/>
      <family val="2"/>
    </font>
    <font>
      <b/>
      <sz val="14"/>
      <color theme="1"/>
      <name val="Aptos Narrow"/>
      <family val="2"/>
      <scheme val="minor"/>
    </font>
    <font>
      <sz val="14"/>
      <color theme="1"/>
      <name val="Aptos Narrow"/>
      <family val="2"/>
      <scheme val="minor"/>
    </font>
    <font>
      <b/>
      <sz val="14"/>
      <color theme="0"/>
      <name val="Calibri"/>
      <family val="2"/>
    </font>
    <font>
      <sz val="14"/>
      <color theme="0"/>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5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1" fontId="0" fillId="0" borderId="0" xfId="0" applyNumberFormat="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applyAlignment="1">
      <alignment vertical="center" wrapText="1"/>
    </xf>
    <xf numFmtId="1" fontId="0" fillId="0" borderId="1" xfId="0" applyNumberFormat="1" applyBorder="1" applyAlignment="1">
      <alignment vertical="center" wrapText="1"/>
    </xf>
    <xf numFmtId="0" fontId="0" fillId="0" borderId="1" xfId="0" applyBorder="1" applyAlignment="1">
      <alignment vertical="center" wrapText="1"/>
    </xf>
    <xf numFmtId="1" fontId="0" fillId="0" borderId="1" xfId="0" applyNumberFormat="1" applyBorder="1"/>
    <xf numFmtId="0" fontId="0" fillId="0" borderId="1" xfId="0" applyBorder="1"/>
    <xf numFmtId="0" fontId="0" fillId="0" borderId="7" xfId="0" applyBorder="1" applyAlignment="1">
      <alignment vertical="center" wrapText="1"/>
    </xf>
    <xf numFmtId="1" fontId="0" fillId="0" borderId="8" xfId="0" applyNumberFormat="1" applyBorder="1"/>
    <xf numFmtId="0" fontId="0" fillId="0" borderId="8" xfId="0" applyBorder="1"/>
    <xf numFmtId="0" fontId="0" fillId="0" borderId="9" xfId="0" applyBorder="1"/>
    <xf numFmtId="0" fontId="0" fillId="0" borderId="7" xfId="0" applyBorder="1"/>
    <xf numFmtId="0" fontId="0" fillId="0" borderId="3" xfId="0" applyBorder="1"/>
    <xf numFmtId="171" fontId="0" fillId="0" borderId="6" xfId="0" applyNumberFormat="1" applyBorder="1" applyAlignment="1">
      <alignment vertical="center" wrapText="1"/>
    </xf>
    <xf numFmtId="171" fontId="0" fillId="0" borderId="6" xfId="0" applyNumberFormat="1" applyBorder="1"/>
    <xf numFmtId="171" fontId="0" fillId="0" borderId="9" xfId="0" applyNumberFormat="1" applyBorder="1"/>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xf numFmtId="0" fontId="0" fillId="0" borderId="6" xfId="0" applyBorder="1"/>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5" fillId="0" borderId="6" xfId="0" applyFont="1" applyBorder="1" applyAlignment="1">
      <alignment vertical="center" wrapText="1"/>
    </xf>
    <xf numFmtId="0" fontId="4" fillId="0" borderId="5" xfId="0" applyFont="1" applyBorder="1"/>
    <xf numFmtId="175" fontId="5" fillId="0" borderId="6" xfId="0" applyNumberFormat="1" applyFont="1" applyBorder="1"/>
    <xf numFmtId="0" fontId="5" fillId="0" borderId="6" xfId="0" applyFont="1" applyBorder="1"/>
    <xf numFmtId="10" fontId="5" fillId="0" borderId="6" xfId="1" applyNumberFormat="1" applyFont="1" applyBorder="1"/>
    <xf numFmtId="0" fontId="4" fillId="0" borderId="7" xfId="0" applyFont="1" applyBorder="1"/>
    <xf numFmtId="0" fontId="5" fillId="0" borderId="9" xfId="0" applyFont="1" applyBorder="1"/>
    <xf numFmtId="9" fontId="5" fillId="0" borderId="9" xfId="1" applyFont="1" applyBorder="1"/>
    <xf numFmtId="0" fontId="0" fillId="0" borderId="0" xfId="0" applyNumberFormat="1"/>
    <xf numFmtId="0" fontId="0" fillId="0" borderId="0" xfId="0" pivotButton="1"/>
    <xf numFmtId="0" fontId="0" fillId="0" borderId="0" xfId="0" applyAlignment="1">
      <alignment horizontal="left"/>
    </xf>
    <xf numFmtId="177" fontId="0" fillId="0" borderId="0" xfId="0" applyNumberFormat="1"/>
    <xf numFmtId="177" fontId="5" fillId="0" borderId="6" xfId="0" applyNumberFormat="1" applyFont="1" applyBorder="1" applyAlignment="1">
      <alignment vertical="center" wrapText="1"/>
    </xf>
    <xf numFmtId="9" fontId="0" fillId="0" borderId="1" xfId="1" applyFont="1" applyBorder="1"/>
    <xf numFmtId="177" fontId="0" fillId="0" borderId="1" xfId="0" applyNumberFormat="1" applyBorder="1"/>
    <xf numFmtId="0" fontId="6" fillId="0" borderId="0" xfId="0" applyFont="1" applyFill="1" applyBorder="1" applyAlignment="1">
      <alignment horizontal="center" vertical="center"/>
    </xf>
    <xf numFmtId="0" fontId="0" fillId="0" borderId="0" xfId="0" applyBorder="1"/>
    <xf numFmtId="0" fontId="7" fillId="0" borderId="0" xfId="0" applyFont="1" applyFill="1" applyBorder="1" applyAlignment="1">
      <alignment horizontal="center" vertical="center"/>
    </xf>
    <xf numFmtId="0" fontId="7" fillId="0" borderId="0" xfId="0" applyNumberFormat="1" applyFont="1" applyFill="1" applyBorder="1" applyAlignment="1">
      <alignment horizontal="center" vertical="center"/>
    </xf>
    <xf numFmtId="0" fontId="6" fillId="0" borderId="0" xfId="0" applyNumberFormat="1" applyFont="1" applyFill="1" applyBorder="1" applyAlignment="1">
      <alignment horizontal="center" vertical="center"/>
    </xf>
    <xf numFmtId="0" fontId="8" fillId="0" borderId="0" xfId="0" applyFont="1" applyFill="1" applyBorder="1"/>
    <xf numFmtId="0" fontId="9" fillId="0" borderId="0" xfId="0" applyFont="1" applyFill="1" applyBorder="1"/>
  </cellXfs>
  <cellStyles count="2">
    <cellStyle name="Normal" xfId="0" builtinId="0"/>
    <cellStyle name="Percent" xfId="1" builtinId="5"/>
  </cellStyles>
  <dxfs count="78">
    <dxf>
      <numFmt numFmtId="1" formatCode="0"/>
    </dxf>
    <dxf>
      <numFmt numFmtId="1" formatCode="0"/>
    </dxf>
    <dxf>
      <numFmt numFmtId="177" formatCode="&quot;₹&quot;\ #,##0"/>
    </dxf>
    <dxf>
      <numFmt numFmtId="177" formatCode="&quot;₹&quot;\ #,##0"/>
    </dxf>
    <dxf>
      <numFmt numFmtId="1" formatCode="0"/>
    </dxf>
    <dxf>
      <numFmt numFmtId="1" formatCode="0"/>
    </dxf>
    <dxf>
      <numFmt numFmtId="177" formatCode="&quot;₹&quot;\ #,##0"/>
    </dxf>
    <dxf>
      <numFmt numFmtId="177" formatCode="&quot;₹&quot;\ #,##0"/>
    </dxf>
    <dxf>
      <numFmt numFmtId="1" formatCode="0"/>
    </dxf>
    <dxf>
      <numFmt numFmtId="1" formatCode="0"/>
    </dxf>
    <dxf>
      <numFmt numFmtId="177" formatCode="&quot;₹&quot;\ #,##0"/>
    </dxf>
    <dxf>
      <numFmt numFmtId="177" formatCode="&quot;₹&quot;\ #,##0"/>
    </dxf>
    <dxf>
      <numFmt numFmtId="1" formatCode="0"/>
    </dxf>
    <dxf>
      <numFmt numFmtId="1" formatCode="0"/>
    </dxf>
    <dxf>
      <numFmt numFmtId="177" formatCode="&quot;₹&quot;\ #,##0"/>
    </dxf>
    <dxf>
      <numFmt numFmtId="177" formatCode="&quot;₹&quot;\ #,##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 formatCode="0"/>
    </dxf>
    <dxf>
      <numFmt numFmtId="1" formatCode="0"/>
    </dxf>
    <dxf>
      <numFmt numFmtId="177" formatCode="&quot;₹&quot;\ #,##0"/>
    </dxf>
    <dxf>
      <numFmt numFmtId="177" formatCode="&quot;₹&quot;\ #,##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name val="Calibri"/>
        <family val="2"/>
        <scheme val="none"/>
      </font>
    </dxf>
    <dxf>
      <font>
        <b/>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5"/>
        <color theme="1"/>
        <name val="Calibri"/>
        <family val="2"/>
        <scheme val="none"/>
      </font>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3"/>
        <color theme="1"/>
        <name val="Calibri"/>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71" formatCode="dd/mmm/yyyy"/>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71" formatCode="dd/mmm/yyyy"/>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5"/>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Pivot!$A$2:$A$5</c:f>
              <c:strCache>
                <c:ptCount val="3"/>
                <c:pt idx="0">
                  <c:v>High Value</c:v>
                </c:pt>
                <c:pt idx="1">
                  <c:v>Low Value</c:v>
                </c:pt>
                <c:pt idx="2">
                  <c:v>Medium Value</c:v>
                </c:pt>
              </c:strCache>
            </c:strRef>
          </c:cat>
          <c:val>
            <c:numRef>
              <c:f>Pivot!$B$2:$B$5</c:f>
              <c:numCache>
                <c:formatCode>General</c:formatCode>
                <c:ptCount val="3"/>
                <c:pt idx="0">
                  <c:v>26</c:v>
                </c:pt>
                <c:pt idx="1">
                  <c:v>13</c:v>
                </c:pt>
                <c:pt idx="2">
                  <c:v>61</c:v>
                </c:pt>
              </c:numCache>
            </c:numRef>
          </c:val>
          <c:extLst>
            <c:ext xmlns:c16="http://schemas.microsoft.com/office/drawing/2014/chart" uri="{C3380CC4-5D6E-409C-BE32-E72D297353CC}">
              <c16:uniqueId val="{00000000-B189-4E42-9AE8-6BDD0DDBFD78}"/>
            </c:ext>
          </c:extLst>
        </c:ser>
        <c:dLbls>
          <c:dLblPos val="inEnd"/>
          <c:showLegendKey val="0"/>
          <c:showVal val="1"/>
          <c:showCatName val="0"/>
          <c:showSerName val="0"/>
          <c:showPercent val="0"/>
          <c:showBubbleSize val="0"/>
        </c:dLbls>
        <c:gapWidth val="115"/>
        <c:overlap val="-20"/>
        <c:axId val="937710351"/>
        <c:axId val="937700271"/>
      </c:barChart>
      <c:catAx>
        <c:axId val="937710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700271"/>
        <c:crosses val="autoZero"/>
        <c:auto val="1"/>
        <c:lblAlgn val="ctr"/>
        <c:lblOffset val="100"/>
        <c:noMultiLvlLbl val="0"/>
      </c:catAx>
      <c:valAx>
        <c:axId val="937700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71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7"/>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Pivot!$A$9:$A$12</c:f>
              <c:strCache>
                <c:ptCount val="3"/>
                <c:pt idx="0">
                  <c:v>Medium Value</c:v>
                </c:pt>
                <c:pt idx="1">
                  <c:v>High Value</c:v>
                </c:pt>
                <c:pt idx="2">
                  <c:v>Low Value</c:v>
                </c:pt>
              </c:strCache>
            </c:strRef>
          </c:cat>
          <c:val>
            <c:numRef>
              <c:f>Pivot!$B$9:$B$12</c:f>
              <c:numCache>
                <c:formatCode>"₹"\ #,##0</c:formatCode>
                <c:ptCount val="3"/>
                <c:pt idx="0">
                  <c:v>948536</c:v>
                </c:pt>
                <c:pt idx="1">
                  <c:v>880183</c:v>
                </c:pt>
                <c:pt idx="2">
                  <c:v>80308</c:v>
                </c:pt>
              </c:numCache>
            </c:numRef>
          </c:val>
          <c:extLst>
            <c:ext xmlns:c16="http://schemas.microsoft.com/office/drawing/2014/chart" uri="{C3380CC4-5D6E-409C-BE32-E72D297353CC}">
              <c16:uniqueId val="{00000000-EAD4-45B8-8F81-6EB9A128C14F}"/>
            </c:ext>
          </c:extLst>
        </c:ser>
        <c:dLbls>
          <c:dLblPos val="outEnd"/>
          <c:showLegendKey val="0"/>
          <c:showVal val="1"/>
          <c:showCatName val="0"/>
          <c:showSerName val="0"/>
          <c:showPercent val="0"/>
          <c:showBubbleSize val="0"/>
        </c:dLbls>
        <c:gapWidth val="269"/>
        <c:overlap val="-20"/>
        <c:axId val="1552265951"/>
        <c:axId val="1552267391"/>
      </c:barChart>
      <c:catAx>
        <c:axId val="15522659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52267391"/>
        <c:crosses val="autoZero"/>
        <c:auto val="1"/>
        <c:lblAlgn val="ctr"/>
        <c:lblOffset val="100"/>
        <c:noMultiLvlLbl val="0"/>
      </c:catAx>
      <c:valAx>
        <c:axId val="15522673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22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[Book1.xlsx]Pivot!PivotTable3</c:name>
    <c:fmtId val="4"/>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6.1111111111111109E-2"/>
              <c:y val="-0.12500000000000006"/>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8.3333333333333329E-2"/>
              <c:y val="0.1111111111111111"/>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8.3333333333333329E-2"/>
              <c:y val="0.1111111111111111"/>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6.1111111111111109E-2"/>
              <c:y val="-0.12500000000000006"/>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76857330703473"/>
              <c:y val="0.1812865497076024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4812623274162"/>
              <c:y val="-0.1461988304093567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6A-45F6-8C3D-C1DF84C888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6A-45F6-8C3D-C1DF84C88803}"/>
              </c:ext>
            </c:extLst>
          </c:dPt>
          <c:dLbls>
            <c:dLbl>
              <c:idx val="0"/>
              <c:layout>
                <c:manualLayout>
                  <c:x val="0.11176857330703473"/>
                  <c:y val="0.181286549707602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6A-45F6-8C3D-C1DF84C88803}"/>
                </c:ext>
              </c:extLst>
            </c:dLbl>
            <c:dLbl>
              <c:idx val="1"/>
              <c:layout>
                <c:manualLayout>
                  <c:x val="-0.1084812623274162"/>
                  <c:y val="-0.146198830409356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6A-45F6-8C3D-C1DF84C8880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Pivot!$A$15:$A$17</c:f>
              <c:strCache>
                <c:ptCount val="2"/>
                <c:pt idx="0">
                  <c:v>At Risk</c:v>
                </c:pt>
                <c:pt idx="1">
                  <c:v>Retained</c:v>
                </c:pt>
              </c:strCache>
            </c:strRef>
          </c:cat>
          <c:val>
            <c:numRef>
              <c:f>Pivot!$B$15:$B$17</c:f>
              <c:numCache>
                <c:formatCode>General</c:formatCode>
                <c:ptCount val="2"/>
                <c:pt idx="0">
                  <c:v>57</c:v>
                </c:pt>
                <c:pt idx="1">
                  <c:v>43</c:v>
                </c:pt>
              </c:numCache>
            </c:numRef>
          </c:val>
          <c:extLst>
            <c:ext xmlns:c16="http://schemas.microsoft.com/office/drawing/2014/chart" uri="{C3380CC4-5D6E-409C-BE32-E72D297353CC}">
              <c16:uniqueId val="{00000004-E76A-45F6-8C3D-C1DF84C88803}"/>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Pivot!$B$20:$B$21</c:f>
              <c:strCache>
                <c:ptCount val="1"/>
                <c:pt idx="0">
                  <c:v>At Risk</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Pivot!$A$22:$A$25</c:f>
              <c:strCache>
                <c:ptCount val="3"/>
                <c:pt idx="0">
                  <c:v>High Value</c:v>
                </c:pt>
                <c:pt idx="1">
                  <c:v>Low Value</c:v>
                </c:pt>
                <c:pt idx="2">
                  <c:v>Medium Value</c:v>
                </c:pt>
              </c:strCache>
            </c:strRef>
          </c:cat>
          <c:val>
            <c:numRef>
              <c:f>Pivot!$B$22:$B$25</c:f>
              <c:numCache>
                <c:formatCode>General</c:formatCode>
                <c:ptCount val="3"/>
                <c:pt idx="0">
                  <c:v>13</c:v>
                </c:pt>
                <c:pt idx="1">
                  <c:v>9</c:v>
                </c:pt>
                <c:pt idx="2">
                  <c:v>35</c:v>
                </c:pt>
              </c:numCache>
            </c:numRef>
          </c:val>
          <c:extLst>
            <c:ext xmlns:c16="http://schemas.microsoft.com/office/drawing/2014/chart" uri="{C3380CC4-5D6E-409C-BE32-E72D297353CC}">
              <c16:uniqueId val="{00000000-EEA4-4592-932C-2313D085BC75}"/>
            </c:ext>
          </c:extLst>
        </c:ser>
        <c:ser>
          <c:idx val="1"/>
          <c:order val="1"/>
          <c:tx>
            <c:strRef>
              <c:f>Pivot!$C$20:$C$21</c:f>
              <c:strCache>
                <c:ptCount val="1"/>
                <c:pt idx="0">
                  <c:v>Retained</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Pivot!$A$22:$A$25</c:f>
              <c:strCache>
                <c:ptCount val="3"/>
                <c:pt idx="0">
                  <c:v>High Value</c:v>
                </c:pt>
                <c:pt idx="1">
                  <c:v>Low Value</c:v>
                </c:pt>
                <c:pt idx="2">
                  <c:v>Medium Value</c:v>
                </c:pt>
              </c:strCache>
            </c:strRef>
          </c:cat>
          <c:val>
            <c:numRef>
              <c:f>Pivot!$C$22:$C$25</c:f>
              <c:numCache>
                <c:formatCode>General</c:formatCode>
                <c:ptCount val="3"/>
                <c:pt idx="0">
                  <c:v>13</c:v>
                </c:pt>
                <c:pt idx="1">
                  <c:v>4</c:v>
                </c:pt>
                <c:pt idx="2">
                  <c:v>26</c:v>
                </c:pt>
              </c:numCache>
            </c:numRef>
          </c:val>
          <c:extLst>
            <c:ext xmlns:c16="http://schemas.microsoft.com/office/drawing/2014/chart" uri="{C3380CC4-5D6E-409C-BE32-E72D297353CC}">
              <c16:uniqueId val="{00000001-EEA4-4592-932C-2313D085BC75}"/>
            </c:ext>
          </c:extLst>
        </c:ser>
        <c:dLbls>
          <c:showLegendKey val="0"/>
          <c:showVal val="0"/>
          <c:showCatName val="0"/>
          <c:showSerName val="0"/>
          <c:showPercent val="0"/>
          <c:showBubbleSize val="0"/>
        </c:dLbls>
        <c:gapWidth val="150"/>
        <c:shape val="box"/>
        <c:axId val="1594968767"/>
        <c:axId val="1594966367"/>
        <c:axId val="0"/>
      </c:bar3DChart>
      <c:catAx>
        <c:axId val="159496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94966367"/>
        <c:crosses val="autoZero"/>
        <c:auto val="1"/>
        <c:lblAlgn val="ctr"/>
        <c:lblOffset val="100"/>
        <c:noMultiLvlLbl val="0"/>
      </c:catAx>
      <c:valAx>
        <c:axId val="15949663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9496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Pivot!$A$44:$A$48</c:f>
              <c:strCache>
                <c:ptCount val="4"/>
                <c:pt idx="0">
                  <c:v>Beauty</c:v>
                </c:pt>
                <c:pt idx="1">
                  <c:v>Electronics</c:v>
                </c:pt>
                <c:pt idx="2">
                  <c:v>Fashion</c:v>
                </c:pt>
                <c:pt idx="3">
                  <c:v>Home</c:v>
                </c:pt>
              </c:strCache>
            </c:strRef>
          </c:cat>
          <c:val>
            <c:numRef>
              <c:f>Pivot!$B$44:$B$48</c:f>
              <c:numCache>
                <c:formatCode>0</c:formatCode>
                <c:ptCount val="4"/>
                <c:pt idx="0">
                  <c:v>21</c:v>
                </c:pt>
                <c:pt idx="1">
                  <c:v>25</c:v>
                </c:pt>
                <c:pt idx="2">
                  <c:v>28</c:v>
                </c:pt>
                <c:pt idx="3">
                  <c:v>26</c:v>
                </c:pt>
              </c:numCache>
            </c:numRef>
          </c:val>
          <c:extLst>
            <c:ext xmlns:c16="http://schemas.microsoft.com/office/drawing/2014/chart" uri="{C3380CC4-5D6E-409C-BE32-E72D297353CC}">
              <c16:uniqueId val="{00000000-1923-464E-B556-E17528C50186}"/>
            </c:ext>
          </c:extLst>
        </c:ser>
        <c:dLbls>
          <c:showLegendKey val="0"/>
          <c:showVal val="1"/>
          <c:showCatName val="0"/>
          <c:showSerName val="0"/>
          <c:showPercent val="0"/>
          <c:showBubbleSize val="0"/>
        </c:dLbls>
        <c:gapWidth val="84"/>
        <c:gapDepth val="53"/>
        <c:shape val="box"/>
        <c:axId val="1857261439"/>
        <c:axId val="1857251839"/>
        <c:axId val="0"/>
      </c:bar3DChart>
      <c:catAx>
        <c:axId val="185726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7251839"/>
        <c:crosses val="autoZero"/>
        <c:auto val="1"/>
        <c:lblAlgn val="ctr"/>
        <c:lblOffset val="100"/>
        <c:noMultiLvlLbl val="0"/>
      </c:catAx>
      <c:valAx>
        <c:axId val="1857251839"/>
        <c:scaling>
          <c:orientation val="minMax"/>
        </c:scaling>
        <c:delete val="1"/>
        <c:axPos val="l"/>
        <c:numFmt formatCode="0" sourceLinked="1"/>
        <c:majorTickMark val="out"/>
        <c:minorTickMark val="none"/>
        <c:tickLblPos val="nextTo"/>
        <c:crossAx val="1857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[Book1.xlsx]Pivot!PivotTable7</c:name>
    <c:fmtId val="2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1111111111111111"/>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3333333333333333E-2"/>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sp3d/>
        </c:spPr>
      </c:pivotFmt>
      <c:pivotFmt>
        <c:idx val="8"/>
        <c:spPr>
          <a:solidFill>
            <a:schemeClr val="accent1">
              <a:lumMod val="20000"/>
              <a:lumOff val="80000"/>
            </a:schemeClr>
          </a:solidFill>
          <a:ln>
            <a:noFill/>
          </a:ln>
          <a:effectLst/>
          <a:sp3d/>
        </c:spPr>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Pivot!$B$37</c:f>
              <c:strCache>
                <c:ptCount val="1"/>
                <c:pt idx="0">
                  <c:v>Total</c:v>
                </c:pt>
              </c:strCache>
            </c:strRef>
          </c:tx>
          <c:spPr>
            <a:solidFill>
              <a:schemeClr val="accent1">
                <a:lumMod val="20000"/>
                <a:lumOff val="80000"/>
              </a:schemeClr>
            </a:solidFill>
            <a:ln>
              <a:noFill/>
            </a:ln>
            <a:effectLst/>
            <a:sp3d/>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Pivot!$A$38:$A$40</c:f>
              <c:strCache>
                <c:ptCount val="2"/>
                <c:pt idx="0">
                  <c:v>Offline</c:v>
                </c:pt>
                <c:pt idx="1">
                  <c:v>Online</c:v>
                </c:pt>
              </c:strCache>
            </c:strRef>
          </c:cat>
          <c:val>
            <c:numRef>
              <c:f>Pivot!$B$38:$B$40</c:f>
              <c:numCache>
                <c:formatCode>"₹"\ #,##0</c:formatCode>
                <c:ptCount val="2"/>
                <c:pt idx="0">
                  <c:v>1073181</c:v>
                </c:pt>
                <c:pt idx="1">
                  <c:v>835846</c:v>
                </c:pt>
              </c:numCache>
            </c:numRef>
          </c:val>
          <c:extLst>
            <c:ext xmlns:c16="http://schemas.microsoft.com/office/drawing/2014/chart" uri="{C3380CC4-5D6E-409C-BE32-E72D297353CC}">
              <c16:uniqueId val="{00000002-8A28-4E43-9B54-6CB56CB27EDE}"/>
            </c:ext>
          </c:extLst>
        </c:ser>
        <c:dLbls>
          <c:showLegendKey val="0"/>
          <c:showVal val="1"/>
          <c:showCatName val="0"/>
          <c:showSerName val="0"/>
          <c:showPercent val="0"/>
          <c:showBubbleSize val="0"/>
        </c:dLbls>
        <c:gapWidth val="154"/>
        <c:gapDepth val="0"/>
        <c:shape val="box"/>
        <c:axId val="1898640031"/>
        <c:axId val="1898641471"/>
        <c:axId val="0"/>
      </c:bar3DChart>
      <c:catAx>
        <c:axId val="1898640031"/>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898641471"/>
        <c:crosses val="autoZero"/>
        <c:auto val="1"/>
        <c:lblAlgn val="ctr"/>
        <c:lblOffset val="100"/>
        <c:noMultiLvlLbl val="0"/>
      </c:catAx>
      <c:valAx>
        <c:axId val="189864147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864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[Book1.xlsx]Pivot!PivotTable9</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Pivot!$G$2:$G$5</c:f>
              <c:strCache>
                <c:ptCount val="3"/>
                <c:pt idx="0">
                  <c:v>Jan</c:v>
                </c:pt>
                <c:pt idx="1">
                  <c:v>Feb</c:v>
                </c:pt>
                <c:pt idx="2">
                  <c:v>Mar</c:v>
                </c:pt>
              </c:strCache>
            </c:strRef>
          </c:cat>
          <c:val>
            <c:numRef>
              <c:f>Pivot!$H$2:$H$5</c:f>
              <c:numCache>
                <c:formatCode>0</c:formatCode>
                <c:ptCount val="3"/>
                <c:pt idx="0">
                  <c:v>394327</c:v>
                </c:pt>
                <c:pt idx="1">
                  <c:v>606491</c:v>
                </c:pt>
                <c:pt idx="2">
                  <c:v>908209</c:v>
                </c:pt>
              </c:numCache>
            </c:numRef>
          </c:val>
          <c:smooth val="0"/>
          <c:extLst>
            <c:ext xmlns:c16="http://schemas.microsoft.com/office/drawing/2014/chart" uri="{C3380CC4-5D6E-409C-BE32-E72D297353CC}">
              <c16:uniqueId val="{00000000-15A8-4E1C-9526-B2C046D51FE6}"/>
            </c:ext>
          </c:extLst>
        </c:ser>
        <c:dLbls>
          <c:showLegendKey val="0"/>
          <c:showVal val="0"/>
          <c:showCatName val="0"/>
          <c:showSerName val="0"/>
          <c:showPercent val="0"/>
          <c:showBubbleSize val="0"/>
        </c:dLbls>
        <c:marker val="1"/>
        <c:smooth val="0"/>
        <c:axId val="1903693455"/>
        <c:axId val="1903695855"/>
      </c:lineChart>
      <c:catAx>
        <c:axId val="190369345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903695855"/>
        <c:crosses val="autoZero"/>
        <c:auto val="1"/>
        <c:lblAlgn val="ctr"/>
        <c:lblOffset val="100"/>
        <c:noMultiLvlLbl val="0"/>
      </c:catAx>
      <c:valAx>
        <c:axId val="190369585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69345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23611111111111116"/>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7596E-3"/>
              <c:y val="-0.212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44444444444344E-2"/>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7779E-3"/>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0370370370370369"/>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0370370370370369"/>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7777777777777779E-3"/>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444444444444344E-2"/>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236111111111111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5555555555557596E-3"/>
              <c:y val="-0.212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0"/>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2.7777777777777779E-3"/>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0"/>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1.9444444444444344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0"/>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
          <c:idx val="0"/>
          <c:layout>
            <c:manualLayout>
              <c:x val="-5.5555555555557596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Pivot!$B$27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Lbls>
            <c:dLbl>
              <c:idx val="0"/>
              <c:layout>
                <c:manualLayout>
                  <c:x val="0"/>
                  <c:y val="-0.20370370370370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DA-40AF-827B-CE8FAF3E941A}"/>
                </c:ext>
              </c:extLst>
            </c:dLbl>
            <c:dLbl>
              <c:idx val="1"/>
              <c:layout>
                <c:manualLayout>
                  <c:x val="2.7777777777777779E-3"/>
                  <c:y val="-0.21759259259259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DA-40AF-827B-CE8FAF3E941A}"/>
                </c:ext>
              </c:extLst>
            </c:dLbl>
            <c:dLbl>
              <c:idx val="2"/>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DA-40AF-827B-CE8FAF3E941A}"/>
                </c:ext>
              </c:extLst>
            </c:dLbl>
            <c:dLbl>
              <c:idx val="3"/>
              <c:layout>
                <c:manualLayout>
                  <c:x val="1.9444444444444344E-2"/>
                  <c:y val="-0.21759259259259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DA-40AF-827B-CE8FAF3E941A}"/>
                </c:ext>
              </c:extLst>
            </c:dLbl>
            <c:dLbl>
              <c:idx val="4"/>
              <c:layout>
                <c:manualLayout>
                  <c:x val="0"/>
                  <c:y val="-0.236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DA-40AF-827B-CE8FAF3E941A}"/>
                </c:ext>
              </c:extLst>
            </c:dLbl>
            <c:dLbl>
              <c:idx val="5"/>
              <c:layout>
                <c:manualLayout>
                  <c:x val="-5.5555555555557596E-3"/>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DA-40AF-827B-CE8FAF3E94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Pivot!$A$28:$A$34</c:f>
              <c:strCache>
                <c:ptCount val="6"/>
                <c:pt idx="0">
                  <c:v>Bangalore</c:v>
                </c:pt>
                <c:pt idx="1">
                  <c:v>Chennai</c:v>
                </c:pt>
                <c:pt idx="2">
                  <c:v>Delhi</c:v>
                </c:pt>
                <c:pt idx="3">
                  <c:v>Hyderabad</c:v>
                </c:pt>
                <c:pt idx="4">
                  <c:v>Mumbai</c:v>
                </c:pt>
                <c:pt idx="5">
                  <c:v>Pune</c:v>
                </c:pt>
              </c:strCache>
            </c:strRef>
          </c:cat>
          <c:val>
            <c:numRef>
              <c:f>Pivot!$B$28:$B$34</c:f>
              <c:numCache>
                <c:formatCode>General</c:formatCode>
                <c:ptCount val="6"/>
                <c:pt idx="0">
                  <c:v>16</c:v>
                </c:pt>
                <c:pt idx="1">
                  <c:v>16</c:v>
                </c:pt>
                <c:pt idx="2">
                  <c:v>21</c:v>
                </c:pt>
                <c:pt idx="3">
                  <c:v>15</c:v>
                </c:pt>
                <c:pt idx="4">
                  <c:v>19</c:v>
                </c:pt>
                <c:pt idx="5">
                  <c:v>13</c:v>
                </c:pt>
              </c:numCache>
            </c:numRef>
          </c:val>
          <c:extLst>
            <c:ext xmlns:c16="http://schemas.microsoft.com/office/drawing/2014/chart" uri="{C3380CC4-5D6E-409C-BE32-E72D297353CC}">
              <c16:uniqueId val="{00000006-03DA-40AF-827B-CE8FAF3E941A}"/>
            </c:ext>
          </c:extLst>
        </c:ser>
        <c:dLbls>
          <c:showLegendKey val="0"/>
          <c:showVal val="1"/>
          <c:showCatName val="0"/>
          <c:showSerName val="0"/>
          <c:showPercent val="0"/>
          <c:showBubbleSize val="0"/>
        </c:dLbls>
        <c:axId val="1903732815"/>
        <c:axId val="1903731855"/>
        <c:axId val="2018070591"/>
      </c:area3DChart>
      <c:catAx>
        <c:axId val="190373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731855"/>
        <c:crosses val="autoZero"/>
        <c:auto val="1"/>
        <c:lblAlgn val="ctr"/>
        <c:lblOffset val="100"/>
        <c:noMultiLvlLbl val="0"/>
      </c:catAx>
      <c:valAx>
        <c:axId val="190373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732815"/>
        <c:crosses val="autoZero"/>
        <c:crossBetween val="midCat"/>
      </c:valAx>
      <c:serAx>
        <c:axId val="20180705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731855"/>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27</xdr:col>
      <xdr:colOff>143566</xdr:colOff>
      <xdr:row>7</xdr:row>
      <xdr:rowOff>180118</xdr:rowOff>
    </xdr:to>
    <xdr:sp macro="" textlink="">
      <xdr:nvSpPr>
        <xdr:cNvPr id="3" name="Rectangle 2">
          <a:extLst>
            <a:ext uri="{FF2B5EF4-FFF2-40B4-BE49-F238E27FC236}">
              <a16:creationId xmlns:a16="http://schemas.microsoft.com/office/drawing/2014/main" id="{20A37AF0-3B4E-C4C2-7954-41A3FED488D2}"/>
            </a:ext>
          </a:extLst>
        </xdr:cNvPr>
        <xdr:cNvSpPr/>
      </xdr:nvSpPr>
      <xdr:spPr>
        <a:xfrm>
          <a:off x="1" y="0"/>
          <a:ext cx="16543130" cy="149429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latin typeface="Calibri" panose="020F0502020204030204" pitchFamily="34" charset="0"/>
              <a:ea typeface="Calibri" panose="020F0502020204030204" pitchFamily="34" charset="0"/>
              <a:cs typeface="Calibri" panose="020F0502020204030204" pitchFamily="34" charset="0"/>
            </a:rPr>
            <a:t>MARKET RESEARCH AND CUSTOMER SEGMENTATION</a:t>
          </a:r>
          <a:endParaRPr lang="en-IN"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471706</xdr:colOff>
      <xdr:row>2</xdr:row>
      <xdr:rowOff>91307</xdr:rowOff>
    </xdr:from>
    <xdr:to>
      <xdr:col>10</xdr:col>
      <xdr:colOff>109966</xdr:colOff>
      <xdr:row>5</xdr:row>
      <xdr:rowOff>22561</xdr:rowOff>
    </xdr:to>
    <xdr:sp macro="" textlink="Pivot!B52">
      <xdr:nvSpPr>
        <xdr:cNvPr id="4" name="TextBox 3">
          <a:extLst>
            <a:ext uri="{FF2B5EF4-FFF2-40B4-BE49-F238E27FC236}">
              <a16:creationId xmlns:a16="http://schemas.microsoft.com/office/drawing/2014/main" id="{DCFC8734-AAA5-B67E-605C-8C82EFB06758}"/>
            </a:ext>
          </a:extLst>
        </xdr:cNvPr>
        <xdr:cNvSpPr txBox="1"/>
      </xdr:nvSpPr>
      <xdr:spPr>
        <a:xfrm>
          <a:off x="4116054" y="466785"/>
          <a:ext cx="2067825" cy="49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44A0EF-EB00-48D9-BC20-E52F21795D3E}" type="TxLink">
            <a:rPr lang="en-US"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rPr>
            <a:pPr marL="0" indent="0"/>
            <a:t>₹ 19,09,027</a:t>
          </a:fld>
          <a:endParaRPr lang="en-IN"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3</xdr:col>
      <xdr:colOff>162008</xdr:colOff>
      <xdr:row>2</xdr:row>
      <xdr:rowOff>87853</xdr:rowOff>
    </xdr:from>
    <xdr:to>
      <xdr:col>5</xdr:col>
      <xdr:colOff>547806</xdr:colOff>
      <xdr:row>5</xdr:row>
      <xdr:rowOff>26016</xdr:rowOff>
    </xdr:to>
    <xdr:sp macro="" textlink="Pivot!A52">
      <xdr:nvSpPr>
        <xdr:cNvPr id="5" name="TextBox 4">
          <a:extLst>
            <a:ext uri="{FF2B5EF4-FFF2-40B4-BE49-F238E27FC236}">
              <a16:creationId xmlns:a16="http://schemas.microsoft.com/office/drawing/2014/main" id="{9182E268-87D3-89B3-0BB9-6C41BA0066F7}"/>
            </a:ext>
          </a:extLst>
        </xdr:cNvPr>
        <xdr:cNvSpPr txBox="1"/>
      </xdr:nvSpPr>
      <xdr:spPr>
        <a:xfrm>
          <a:off x="1984182" y="463331"/>
          <a:ext cx="1600581" cy="501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3543A9-A40A-4F38-A415-06ECE219D73D}" type="TxLink">
            <a:rPr lang="en-US"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rPr>
            <a:pPr marL="0" indent="0"/>
            <a:t>100</a:t>
          </a:fld>
          <a:endParaRPr lang="en-IN"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12</xdr:col>
      <xdr:colOff>298908</xdr:colOff>
      <xdr:row>2</xdr:row>
      <xdr:rowOff>102350</xdr:rowOff>
    </xdr:from>
    <xdr:to>
      <xdr:col>15</xdr:col>
      <xdr:colOff>77315</xdr:colOff>
      <xdr:row>5</xdr:row>
      <xdr:rowOff>33604</xdr:rowOff>
    </xdr:to>
    <xdr:sp macro="" textlink="Pivot!C52">
      <xdr:nvSpPr>
        <xdr:cNvPr id="6" name="TextBox 5">
          <a:extLst>
            <a:ext uri="{FF2B5EF4-FFF2-40B4-BE49-F238E27FC236}">
              <a16:creationId xmlns:a16="http://schemas.microsoft.com/office/drawing/2014/main" id="{A470C786-CA20-48C8-EB19-8FB40A4016BC}"/>
            </a:ext>
          </a:extLst>
        </xdr:cNvPr>
        <xdr:cNvSpPr txBox="1"/>
      </xdr:nvSpPr>
      <xdr:spPr>
        <a:xfrm>
          <a:off x="7587604" y="477828"/>
          <a:ext cx="1600581" cy="49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AB98EE-C1CD-4B0D-967A-34D3B71D3B1C}" type="TxLink">
            <a:rPr lang="en-US"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rPr>
            <a:pPr marL="0" indent="0"/>
            <a:t>2917.41</a:t>
          </a:fld>
          <a:endParaRPr lang="en-IN"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18</xdr:col>
      <xdr:colOff>67477</xdr:colOff>
      <xdr:row>2</xdr:row>
      <xdr:rowOff>91307</xdr:rowOff>
    </xdr:from>
    <xdr:to>
      <xdr:col>20</xdr:col>
      <xdr:colOff>453275</xdr:colOff>
      <xdr:row>5</xdr:row>
      <xdr:rowOff>22561</xdr:rowOff>
    </xdr:to>
    <xdr:sp macro="" textlink="Pivot!D52">
      <xdr:nvSpPr>
        <xdr:cNvPr id="7" name="TextBox 6">
          <a:extLst>
            <a:ext uri="{FF2B5EF4-FFF2-40B4-BE49-F238E27FC236}">
              <a16:creationId xmlns:a16="http://schemas.microsoft.com/office/drawing/2014/main" id="{B411DDFD-BD51-FF19-1900-1DD0CDD53245}"/>
            </a:ext>
          </a:extLst>
        </xdr:cNvPr>
        <xdr:cNvSpPr txBox="1"/>
      </xdr:nvSpPr>
      <xdr:spPr>
        <a:xfrm>
          <a:off x="11000520" y="466785"/>
          <a:ext cx="1600581" cy="49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6770D2-7950-421F-ADF3-DF7C3F9AA7F3}" type="TxLink">
            <a:rPr lang="en-US"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rPr>
            <a:pPr marL="0" indent="0"/>
            <a:t>66%</a:t>
          </a:fld>
          <a:endParaRPr lang="en-IN"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21</xdr:col>
      <xdr:colOff>587002</xdr:colOff>
      <xdr:row>2</xdr:row>
      <xdr:rowOff>109940</xdr:rowOff>
    </xdr:from>
    <xdr:to>
      <xdr:col>23</xdr:col>
      <xdr:colOff>376092</xdr:colOff>
      <xdr:row>5</xdr:row>
      <xdr:rowOff>48103</xdr:rowOff>
    </xdr:to>
    <xdr:sp macro="" textlink="Pivot!E52">
      <xdr:nvSpPr>
        <xdr:cNvPr id="8" name="TextBox 7">
          <a:extLst>
            <a:ext uri="{FF2B5EF4-FFF2-40B4-BE49-F238E27FC236}">
              <a16:creationId xmlns:a16="http://schemas.microsoft.com/office/drawing/2014/main" id="{F2A524E3-41B5-76EC-3888-A41481280004}"/>
            </a:ext>
          </a:extLst>
        </xdr:cNvPr>
        <xdr:cNvSpPr txBox="1"/>
      </xdr:nvSpPr>
      <xdr:spPr>
        <a:xfrm>
          <a:off x="13342219" y="485418"/>
          <a:ext cx="1003873" cy="501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4C7149-ACCA-4D12-B082-C8BB26A54B08}" type="TxLink">
            <a:rPr lang="en-US"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rPr>
            <a:pPr marL="0" indent="0"/>
            <a:t>43%</a:t>
          </a:fld>
          <a:endParaRPr lang="en-IN" sz="3000" b="1" i="0" u="none" strike="noStrike">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lin ang="27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2</xdr:col>
      <xdr:colOff>273547</xdr:colOff>
      <xdr:row>5</xdr:row>
      <xdr:rowOff>31631</xdr:rowOff>
    </xdr:from>
    <xdr:to>
      <xdr:col>6</xdr:col>
      <xdr:colOff>80777</xdr:colOff>
      <xdr:row>6</xdr:row>
      <xdr:rowOff>167621</xdr:rowOff>
    </xdr:to>
    <xdr:sp macro="" textlink="">
      <xdr:nvSpPr>
        <xdr:cNvPr id="9" name="TextBox 8">
          <a:extLst>
            <a:ext uri="{FF2B5EF4-FFF2-40B4-BE49-F238E27FC236}">
              <a16:creationId xmlns:a16="http://schemas.microsoft.com/office/drawing/2014/main" id="{397401B1-4021-BC2B-9AAC-7C86ABF4F28B}"/>
            </a:ext>
          </a:extLst>
        </xdr:cNvPr>
        <xdr:cNvSpPr txBox="1"/>
      </xdr:nvSpPr>
      <xdr:spPr>
        <a:xfrm>
          <a:off x="1488330" y="970327"/>
          <a:ext cx="2236795" cy="323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800" b="1">
              <a:solidFill>
                <a:schemeClr val="bg1">
                  <a:lumMod val="95000"/>
                </a:schemeClr>
              </a:solidFill>
              <a:latin typeface="+mn-lt"/>
              <a:ea typeface="+mn-ea"/>
              <a:cs typeface="+mn-cs"/>
            </a:rPr>
            <a:t>👥Total Customers</a:t>
          </a:r>
        </a:p>
      </xdr:txBody>
    </xdr:sp>
    <xdr:clientData/>
  </xdr:twoCellAnchor>
  <xdr:twoCellAnchor>
    <xdr:from>
      <xdr:col>7</xdr:col>
      <xdr:colOff>185660</xdr:colOff>
      <xdr:row>5</xdr:row>
      <xdr:rowOff>23850</xdr:rowOff>
    </xdr:from>
    <xdr:to>
      <xdr:col>10</xdr:col>
      <xdr:colOff>152616</xdr:colOff>
      <xdr:row>6</xdr:row>
      <xdr:rowOff>175402</xdr:rowOff>
    </xdr:to>
    <xdr:sp macro="" textlink="">
      <xdr:nvSpPr>
        <xdr:cNvPr id="10" name="TextBox 9">
          <a:extLst>
            <a:ext uri="{FF2B5EF4-FFF2-40B4-BE49-F238E27FC236}">
              <a16:creationId xmlns:a16="http://schemas.microsoft.com/office/drawing/2014/main" id="{6BB8DDE3-5134-2C08-D692-EA96550C823B}"/>
            </a:ext>
          </a:extLst>
        </xdr:cNvPr>
        <xdr:cNvSpPr txBox="1"/>
      </xdr:nvSpPr>
      <xdr:spPr>
        <a:xfrm>
          <a:off x="4437399" y="962546"/>
          <a:ext cx="1789130" cy="339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800" b="1">
              <a:solidFill>
                <a:schemeClr val="bg1">
                  <a:lumMod val="95000"/>
                </a:schemeClr>
              </a:solidFill>
              <a:latin typeface="+mn-lt"/>
              <a:ea typeface="+mn-ea"/>
              <a:cs typeface="+mn-cs"/>
            </a:rPr>
            <a:t>💰Revenue</a:t>
          </a:r>
        </a:p>
      </xdr:txBody>
    </xdr:sp>
    <xdr:clientData/>
  </xdr:twoCellAnchor>
  <xdr:twoCellAnchor>
    <xdr:from>
      <xdr:col>21</xdr:col>
      <xdr:colOff>100386</xdr:colOff>
      <xdr:row>5</xdr:row>
      <xdr:rowOff>32647</xdr:rowOff>
    </xdr:from>
    <xdr:to>
      <xdr:col>24</xdr:col>
      <xdr:colOff>419654</xdr:colOff>
      <xdr:row>7</xdr:row>
      <xdr:rowOff>23039</xdr:rowOff>
    </xdr:to>
    <xdr:sp macro="" textlink="">
      <xdr:nvSpPr>
        <xdr:cNvPr id="11" name="TextBox 10">
          <a:extLst>
            <a:ext uri="{FF2B5EF4-FFF2-40B4-BE49-F238E27FC236}">
              <a16:creationId xmlns:a16="http://schemas.microsoft.com/office/drawing/2014/main" id="{DFC15E4A-7DFD-E57B-402B-FB656E30123D}"/>
            </a:ext>
          </a:extLst>
        </xdr:cNvPr>
        <xdr:cNvSpPr txBox="1"/>
      </xdr:nvSpPr>
      <xdr:spPr>
        <a:xfrm>
          <a:off x="12855603" y="971343"/>
          <a:ext cx="2141442" cy="365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800" b="1">
              <a:solidFill>
                <a:schemeClr val="bg1">
                  <a:lumMod val="95000"/>
                </a:schemeClr>
              </a:solidFill>
              <a:latin typeface="+mn-lt"/>
              <a:ea typeface="+mn-ea"/>
              <a:cs typeface="+mn-cs"/>
            </a:rPr>
            <a:t>🤝Retention Rate</a:t>
          </a:r>
        </a:p>
      </xdr:txBody>
    </xdr:sp>
    <xdr:clientData/>
  </xdr:twoCellAnchor>
  <xdr:twoCellAnchor>
    <xdr:from>
      <xdr:col>16</xdr:col>
      <xdr:colOff>472459</xdr:colOff>
      <xdr:row>5</xdr:row>
      <xdr:rowOff>10560</xdr:rowOff>
    </xdr:from>
    <xdr:to>
      <xdr:col>20</xdr:col>
      <xdr:colOff>426199</xdr:colOff>
      <xdr:row>7</xdr:row>
      <xdr:rowOff>952</xdr:rowOff>
    </xdr:to>
    <xdr:sp macro="" textlink="">
      <xdr:nvSpPr>
        <xdr:cNvPr id="12" name="TextBox 11">
          <a:extLst>
            <a:ext uri="{FF2B5EF4-FFF2-40B4-BE49-F238E27FC236}">
              <a16:creationId xmlns:a16="http://schemas.microsoft.com/office/drawing/2014/main" id="{BA28CFD4-5E0E-3E01-5361-1E82EB5396DF}"/>
            </a:ext>
          </a:extLst>
        </xdr:cNvPr>
        <xdr:cNvSpPr txBox="1"/>
      </xdr:nvSpPr>
      <xdr:spPr>
        <a:xfrm>
          <a:off x="10190720" y="949256"/>
          <a:ext cx="2383305" cy="365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800" b="1">
              <a:solidFill>
                <a:schemeClr val="bg1">
                  <a:lumMod val="95000"/>
                </a:schemeClr>
              </a:solidFill>
              <a:latin typeface="+mn-lt"/>
              <a:ea typeface="+mn-ea"/>
              <a:cs typeface="+mn-cs"/>
            </a:rPr>
            <a:t>🔁Repeat Customer</a:t>
          </a:r>
        </a:p>
      </xdr:txBody>
    </xdr:sp>
    <xdr:clientData/>
  </xdr:twoCellAnchor>
  <xdr:twoCellAnchor>
    <xdr:from>
      <xdr:col>11</xdr:col>
      <xdr:colOff>257499</xdr:colOff>
      <xdr:row>5</xdr:row>
      <xdr:rowOff>10560</xdr:rowOff>
    </xdr:from>
    <xdr:to>
      <xdr:col>15</xdr:col>
      <xdr:colOff>367576</xdr:colOff>
      <xdr:row>7</xdr:row>
      <xdr:rowOff>952</xdr:rowOff>
    </xdr:to>
    <xdr:sp macro="" textlink="">
      <xdr:nvSpPr>
        <xdr:cNvPr id="13" name="TextBox 12">
          <a:extLst>
            <a:ext uri="{FF2B5EF4-FFF2-40B4-BE49-F238E27FC236}">
              <a16:creationId xmlns:a16="http://schemas.microsoft.com/office/drawing/2014/main" id="{6AFE9F03-B169-56B3-8C6F-9827E0641812}"/>
            </a:ext>
          </a:extLst>
        </xdr:cNvPr>
        <xdr:cNvSpPr txBox="1"/>
      </xdr:nvSpPr>
      <xdr:spPr>
        <a:xfrm>
          <a:off x="6938803" y="949256"/>
          <a:ext cx="2539643" cy="365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800" b="1">
              <a:solidFill>
                <a:schemeClr val="bg1">
                  <a:lumMod val="95000"/>
                </a:schemeClr>
              </a:solidFill>
              <a:latin typeface="+mn-lt"/>
              <a:ea typeface="+mn-ea"/>
              <a:cs typeface="+mn-cs"/>
            </a:rPr>
            <a:t>🌟Average Order Value</a:t>
          </a:r>
        </a:p>
      </xdr:txBody>
    </xdr:sp>
    <xdr:clientData/>
  </xdr:twoCellAnchor>
  <xdr:twoCellAnchor>
    <xdr:from>
      <xdr:col>0</xdr:col>
      <xdr:colOff>0</xdr:colOff>
      <xdr:row>7</xdr:row>
      <xdr:rowOff>172941</xdr:rowOff>
    </xdr:from>
    <xdr:to>
      <xdr:col>22</xdr:col>
      <xdr:colOff>231913</xdr:colOff>
      <xdr:row>55</xdr:row>
      <xdr:rowOff>0</xdr:rowOff>
    </xdr:to>
    <xdr:sp macro="" textlink="">
      <xdr:nvSpPr>
        <xdr:cNvPr id="14" name="Rectangle 13">
          <a:extLst>
            <a:ext uri="{FF2B5EF4-FFF2-40B4-BE49-F238E27FC236}">
              <a16:creationId xmlns:a16="http://schemas.microsoft.com/office/drawing/2014/main" id="{F7E64ABA-DCCB-48FC-935A-58FEF74230E4}"/>
            </a:ext>
          </a:extLst>
        </xdr:cNvPr>
        <xdr:cNvSpPr/>
      </xdr:nvSpPr>
      <xdr:spPr>
        <a:xfrm>
          <a:off x="0" y="1457052"/>
          <a:ext cx="13581024" cy="8632392"/>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0</xdr:colOff>
      <xdr:row>8</xdr:row>
      <xdr:rowOff>71673</xdr:rowOff>
    </xdr:from>
    <xdr:to>
      <xdr:col>7</xdr:col>
      <xdr:colOff>167640</xdr:colOff>
      <xdr:row>22</xdr:row>
      <xdr:rowOff>129872</xdr:rowOff>
    </xdr:to>
    <xdr:grpSp>
      <xdr:nvGrpSpPr>
        <xdr:cNvPr id="17" name="Group 16">
          <a:extLst>
            <a:ext uri="{FF2B5EF4-FFF2-40B4-BE49-F238E27FC236}">
              <a16:creationId xmlns:a16="http://schemas.microsoft.com/office/drawing/2014/main" id="{7C8DDBA1-8A37-1332-8DEE-CC544853CE6C}"/>
            </a:ext>
          </a:extLst>
        </xdr:cNvPr>
        <xdr:cNvGrpSpPr/>
      </xdr:nvGrpSpPr>
      <xdr:grpSpPr>
        <a:xfrm>
          <a:off x="0" y="1568936"/>
          <a:ext cx="4472272" cy="2678410"/>
          <a:chOff x="6179820" y="1539240"/>
          <a:chExt cx="4686300" cy="2697480"/>
        </a:xfrm>
      </xdr:grpSpPr>
      <xdr:sp macro="" textlink="">
        <xdr:nvSpPr>
          <xdr:cNvPr id="16" name="Rectangle: Rounded Corners 15">
            <a:extLst>
              <a:ext uri="{FF2B5EF4-FFF2-40B4-BE49-F238E27FC236}">
                <a16:creationId xmlns:a16="http://schemas.microsoft.com/office/drawing/2014/main" id="{AA4E9B42-E467-D8A8-C22B-DE3527629F9B}"/>
              </a:ext>
            </a:extLst>
          </xdr:cNvPr>
          <xdr:cNvSpPr/>
        </xdr:nvSpPr>
        <xdr:spPr>
          <a:xfrm>
            <a:off x="6179820" y="1539240"/>
            <a:ext cx="4686300" cy="2697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Customer</a:t>
            </a:r>
            <a:r>
              <a:rPr lang="en-IN" sz="1300" b="1" baseline="0"/>
              <a:t> by Segment</a:t>
            </a:r>
            <a:endParaRPr lang="en-IN" sz="1300" b="1"/>
          </a:p>
        </xdr:txBody>
      </xdr:sp>
      <xdr:graphicFrame macro="">
        <xdr:nvGraphicFramePr>
          <xdr:cNvPr id="15" name="Chart 14">
            <a:extLst>
              <a:ext uri="{FF2B5EF4-FFF2-40B4-BE49-F238E27FC236}">
                <a16:creationId xmlns:a16="http://schemas.microsoft.com/office/drawing/2014/main" id="{383B11E3-0129-4E9B-8554-4DA620597DC4}"/>
              </a:ext>
            </a:extLst>
          </xdr:cNvPr>
          <xdr:cNvGraphicFramePr>
            <a:graphicFrameLocks/>
          </xdr:cNvGraphicFramePr>
        </xdr:nvGraphicFramePr>
        <xdr:xfrm>
          <a:off x="6275216" y="1832807"/>
          <a:ext cx="4213860" cy="234271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320814</xdr:colOff>
      <xdr:row>8</xdr:row>
      <xdr:rowOff>97955</xdr:rowOff>
    </xdr:from>
    <xdr:to>
      <xdr:col>14</xdr:col>
      <xdr:colOff>488454</xdr:colOff>
      <xdr:row>22</xdr:row>
      <xdr:rowOff>156154</xdr:rowOff>
    </xdr:to>
    <xdr:grpSp>
      <xdr:nvGrpSpPr>
        <xdr:cNvPr id="27" name="Group 26">
          <a:extLst>
            <a:ext uri="{FF2B5EF4-FFF2-40B4-BE49-F238E27FC236}">
              <a16:creationId xmlns:a16="http://schemas.microsoft.com/office/drawing/2014/main" id="{BF6F372C-686D-229F-C456-0ED44B2D53F1}"/>
            </a:ext>
          </a:extLst>
        </xdr:cNvPr>
        <xdr:cNvGrpSpPr/>
      </xdr:nvGrpSpPr>
      <xdr:grpSpPr>
        <a:xfrm>
          <a:off x="4625446" y="1595218"/>
          <a:ext cx="4472271" cy="2678410"/>
          <a:chOff x="4617720" y="1310640"/>
          <a:chExt cx="4434840" cy="2613660"/>
        </a:xfrm>
      </xdr:grpSpPr>
      <xdr:sp macro="" textlink="">
        <xdr:nvSpPr>
          <xdr:cNvPr id="24" name="Rectangle: Rounded Corners 23">
            <a:extLst>
              <a:ext uri="{FF2B5EF4-FFF2-40B4-BE49-F238E27FC236}">
                <a16:creationId xmlns:a16="http://schemas.microsoft.com/office/drawing/2014/main" id="{405BCE5D-D2A4-4935-990E-AEF85DB3F6D2}"/>
              </a:ext>
            </a:extLst>
          </xdr:cNvPr>
          <xdr:cNvSpPr/>
        </xdr:nvSpPr>
        <xdr:spPr>
          <a:xfrm>
            <a:off x="4617720" y="1310640"/>
            <a:ext cx="4434840" cy="2613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baseline="0"/>
              <a:t>Revenue by Segment</a:t>
            </a:r>
            <a:endParaRPr lang="en-IN" sz="1300" b="1"/>
          </a:p>
        </xdr:txBody>
      </xdr:sp>
      <xdr:graphicFrame macro="">
        <xdr:nvGraphicFramePr>
          <xdr:cNvPr id="25" name="Chart 24">
            <a:extLst>
              <a:ext uri="{FF2B5EF4-FFF2-40B4-BE49-F238E27FC236}">
                <a16:creationId xmlns:a16="http://schemas.microsoft.com/office/drawing/2014/main" id="{70A354EB-045F-46AA-9BB9-9E68FCEB7722}"/>
              </a:ext>
            </a:extLst>
          </xdr:cNvPr>
          <xdr:cNvGraphicFramePr>
            <a:graphicFrameLocks/>
          </xdr:cNvGraphicFramePr>
        </xdr:nvGraphicFramePr>
        <xdr:xfrm>
          <a:off x="4754880" y="1767840"/>
          <a:ext cx="3962400" cy="20878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0</xdr:colOff>
      <xdr:row>23</xdr:row>
      <xdr:rowOff>93759</xdr:rowOff>
    </xdr:from>
    <xdr:to>
      <xdr:col>7</xdr:col>
      <xdr:colOff>167640</xdr:colOff>
      <xdr:row>37</xdr:row>
      <xdr:rowOff>151958</xdr:rowOff>
    </xdr:to>
    <xdr:grpSp>
      <xdr:nvGrpSpPr>
        <xdr:cNvPr id="54" name="Group 53">
          <a:extLst>
            <a:ext uri="{FF2B5EF4-FFF2-40B4-BE49-F238E27FC236}">
              <a16:creationId xmlns:a16="http://schemas.microsoft.com/office/drawing/2014/main" id="{70B18916-C30D-46DF-527E-7690EC4FCCC0}"/>
            </a:ext>
          </a:extLst>
        </xdr:cNvPr>
        <xdr:cNvGrpSpPr/>
      </xdr:nvGrpSpPr>
      <xdr:grpSpPr>
        <a:xfrm>
          <a:off x="0" y="4398391"/>
          <a:ext cx="4472272" cy="2678409"/>
          <a:chOff x="0" y="4102542"/>
          <a:chExt cx="4419379" cy="2686547"/>
        </a:xfrm>
      </xdr:grpSpPr>
      <xdr:sp macro="" textlink="">
        <xdr:nvSpPr>
          <xdr:cNvPr id="23" name="Rectangle: Rounded Corners 22">
            <a:extLst>
              <a:ext uri="{FF2B5EF4-FFF2-40B4-BE49-F238E27FC236}">
                <a16:creationId xmlns:a16="http://schemas.microsoft.com/office/drawing/2014/main" id="{4D79EAE2-F068-4FD6-B575-68162C1D88E1}"/>
              </a:ext>
            </a:extLst>
          </xdr:cNvPr>
          <xdr:cNvSpPr/>
        </xdr:nvSpPr>
        <xdr:spPr>
          <a:xfrm>
            <a:off x="0" y="4102542"/>
            <a:ext cx="4419379" cy="2686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Retention</a:t>
            </a:r>
            <a:r>
              <a:rPr lang="en-IN" sz="1300" b="1" baseline="0"/>
              <a:t> Analysis</a:t>
            </a:r>
          </a:p>
          <a:p>
            <a:pPr algn="ctr"/>
            <a:endParaRPr lang="en-IN" sz="1300" b="1"/>
          </a:p>
        </xdr:txBody>
      </xdr:sp>
      <xdr:graphicFrame macro="">
        <xdr:nvGraphicFramePr>
          <xdr:cNvPr id="26" name="Chart 25">
            <a:extLst>
              <a:ext uri="{FF2B5EF4-FFF2-40B4-BE49-F238E27FC236}">
                <a16:creationId xmlns:a16="http://schemas.microsoft.com/office/drawing/2014/main" id="{BBBCEDCF-52BF-4359-8F24-F90DF57E7F89}"/>
              </a:ext>
            </a:extLst>
          </xdr:cNvPr>
          <xdr:cNvGraphicFramePr>
            <a:graphicFrameLocks/>
          </xdr:cNvGraphicFramePr>
        </xdr:nvGraphicFramePr>
        <xdr:xfrm>
          <a:off x="167640" y="4401820"/>
          <a:ext cx="3850088" cy="223001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325009</xdr:colOff>
      <xdr:row>23</xdr:row>
      <xdr:rowOff>107785</xdr:rowOff>
    </xdr:from>
    <xdr:to>
      <xdr:col>14</xdr:col>
      <xdr:colOff>492649</xdr:colOff>
      <xdr:row>37</xdr:row>
      <xdr:rowOff>161125</xdr:rowOff>
    </xdr:to>
    <xdr:grpSp>
      <xdr:nvGrpSpPr>
        <xdr:cNvPr id="29" name="Group 28">
          <a:extLst>
            <a:ext uri="{FF2B5EF4-FFF2-40B4-BE49-F238E27FC236}">
              <a16:creationId xmlns:a16="http://schemas.microsoft.com/office/drawing/2014/main" id="{DB1EADC1-33CE-8F6F-0FAF-00CEAF8DBFDB}"/>
            </a:ext>
          </a:extLst>
        </xdr:cNvPr>
        <xdr:cNvGrpSpPr/>
      </xdr:nvGrpSpPr>
      <xdr:grpSpPr>
        <a:xfrm>
          <a:off x="4629641" y="4412417"/>
          <a:ext cx="4472271" cy="2673550"/>
          <a:chOff x="6085614" y="3832100"/>
          <a:chExt cx="4434840" cy="2613660"/>
        </a:xfrm>
      </xdr:grpSpPr>
      <xdr:sp macro="" textlink="">
        <xdr:nvSpPr>
          <xdr:cNvPr id="22" name="Rectangle: Rounded Corners 21">
            <a:extLst>
              <a:ext uri="{FF2B5EF4-FFF2-40B4-BE49-F238E27FC236}">
                <a16:creationId xmlns:a16="http://schemas.microsoft.com/office/drawing/2014/main" id="{D7F32EC6-CA6C-4826-8AE6-0686D0630448}"/>
              </a:ext>
            </a:extLst>
          </xdr:cNvPr>
          <xdr:cNvSpPr/>
        </xdr:nvSpPr>
        <xdr:spPr>
          <a:xfrm>
            <a:off x="6085614" y="3832100"/>
            <a:ext cx="4434840" cy="2613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Segment</a:t>
            </a:r>
            <a:r>
              <a:rPr lang="en-IN" sz="1300" b="1" baseline="0"/>
              <a:t> Vs Retention</a:t>
            </a:r>
          </a:p>
          <a:p>
            <a:pPr algn="ctr"/>
            <a:endParaRPr lang="en-IN" sz="1300" b="1"/>
          </a:p>
        </xdr:txBody>
      </xdr:sp>
      <xdr:graphicFrame macro="">
        <xdr:nvGraphicFramePr>
          <xdr:cNvPr id="28" name="Chart 27">
            <a:extLst>
              <a:ext uri="{FF2B5EF4-FFF2-40B4-BE49-F238E27FC236}">
                <a16:creationId xmlns:a16="http://schemas.microsoft.com/office/drawing/2014/main" id="{F5311D9F-8519-4956-8BEE-70A9A2DF82DC}"/>
              </a:ext>
            </a:extLst>
          </xdr:cNvPr>
          <xdr:cNvGraphicFramePr>
            <a:graphicFrameLocks/>
          </xdr:cNvGraphicFramePr>
        </xdr:nvGraphicFramePr>
        <xdr:xfrm>
          <a:off x="6100854" y="4175001"/>
          <a:ext cx="4290060" cy="22250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493888</xdr:colOff>
      <xdr:row>38</xdr:row>
      <xdr:rowOff>95539</xdr:rowOff>
    </xdr:from>
    <xdr:to>
      <xdr:col>11</xdr:col>
      <xdr:colOff>127000</xdr:colOff>
      <xdr:row>53</xdr:row>
      <xdr:rowOff>169333</xdr:rowOff>
    </xdr:to>
    <xdr:grpSp>
      <xdr:nvGrpSpPr>
        <xdr:cNvPr id="53" name="Group 52">
          <a:extLst>
            <a:ext uri="{FF2B5EF4-FFF2-40B4-BE49-F238E27FC236}">
              <a16:creationId xmlns:a16="http://schemas.microsoft.com/office/drawing/2014/main" id="{FFF6792F-B651-C962-72A3-09773380A455}"/>
            </a:ext>
          </a:extLst>
        </xdr:cNvPr>
        <xdr:cNvGrpSpPr/>
      </xdr:nvGrpSpPr>
      <xdr:grpSpPr>
        <a:xfrm>
          <a:off x="1723783" y="7207539"/>
          <a:ext cx="5167638" cy="2881162"/>
          <a:chOff x="0" y="6880529"/>
          <a:chExt cx="4419379" cy="2694167"/>
        </a:xfrm>
      </xdr:grpSpPr>
      <xdr:sp macro="" textlink="">
        <xdr:nvSpPr>
          <xdr:cNvPr id="20" name="Rectangle: Rounded Corners 19">
            <a:extLst>
              <a:ext uri="{FF2B5EF4-FFF2-40B4-BE49-F238E27FC236}">
                <a16:creationId xmlns:a16="http://schemas.microsoft.com/office/drawing/2014/main" id="{F59892EF-6734-F82B-6927-F7DCE659FA5A}"/>
              </a:ext>
            </a:extLst>
          </xdr:cNvPr>
          <xdr:cNvSpPr/>
        </xdr:nvSpPr>
        <xdr:spPr>
          <a:xfrm>
            <a:off x="0" y="6880529"/>
            <a:ext cx="4419379" cy="2681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Category</a:t>
            </a:r>
            <a:r>
              <a:rPr lang="en-IN" sz="1300" b="1" baseline="0"/>
              <a:t> Preference</a:t>
            </a:r>
            <a:endParaRPr lang="en-IN" sz="1300" b="1"/>
          </a:p>
        </xdr:txBody>
      </xdr:sp>
      <xdr:graphicFrame macro="">
        <xdr:nvGraphicFramePr>
          <xdr:cNvPr id="32" name="Chart 31">
            <a:extLst>
              <a:ext uri="{FF2B5EF4-FFF2-40B4-BE49-F238E27FC236}">
                <a16:creationId xmlns:a16="http://schemas.microsoft.com/office/drawing/2014/main" id="{81443049-D60A-4003-8C8C-626CFCCAD197}"/>
              </a:ext>
            </a:extLst>
          </xdr:cNvPr>
          <xdr:cNvGraphicFramePr>
            <a:graphicFrameLocks/>
          </xdr:cNvGraphicFramePr>
        </xdr:nvGraphicFramePr>
        <xdr:xfrm>
          <a:off x="7620" y="7113988"/>
          <a:ext cx="4208228" cy="246070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12</xdr:col>
      <xdr:colOff>141505</xdr:colOff>
      <xdr:row>38</xdr:row>
      <xdr:rowOff>90593</xdr:rowOff>
    </xdr:from>
    <xdr:to>
      <xdr:col>20</xdr:col>
      <xdr:colOff>508000</xdr:colOff>
      <xdr:row>54</xdr:row>
      <xdr:rowOff>56444</xdr:rowOff>
    </xdr:to>
    <xdr:grpSp>
      <xdr:nvGrpSpPr>
        <xdr:cNvPr id="52" name="Group 51">
          <a:extLst>
            <a:ext uri="{FF2B5EF4-FFF2-40B4-BE49-F238E27FC236}">
              <a16:creationId xmlns:a16="http://schemas.microsoft.com/office/drawing/2014/main" id="{F3E5BE78-A46E-3ABD-FD6C-EDAA3F47C44A}"/>
            </a:ext>
          </a:extLst>
        </xdr:cNvPr>
        <xdr:cNvGrpSpPr/>
      </xdr:nvGrpSpPr>
      <xdr:grpSpPr>
        <a:xfrm>
          <a:off x="7520873" y="7202593"/>
          <a:ext cx="5286074" cy="2960377"/>
          <a:chOff x="4571779" y="6933869"/>
          <a:chExt cx="4419379" cy="2777987"/>
        </a:xfrm>
      </xdr:grpSpPr>
      <xdr:sp macro="" textlink="">
        <xdr:nvSpPr>
          <xdr:cNvPr id="30" name="Rectangle: Rounded Corners 29">
            <a:extLst>
              <a:ext uri="{FF2B5EF4-FFF2-40B4-BE49-F238E27FC236}">
                <a16:creationId xmlns:a16="http://schemas.microsoft.com/office/drawing/2014/main" id="{0CEB99F6-5D55-4C08-B17F-5835E5AEC1F2}"/>
              </a:ext>
            </a:extLst>
          </xdr:cNvPr>
          <xdr:cNvSpPr/>
        </xdr:nvSpPr>
        <xdr:spPr>
          <a:xfrm>
            <a:off x="4571779" y="6933869"/>
            <a:ext cx="4419379" cy="2686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t>Channel Performance</a:t>
            </a:r>
          </a:p>
        </xdr:txBody>
      </xdr:sp>
      <xdr:graphicFrame macro="">
        <xdr:nvGraphicFramePr>
          <xdr:cNvPr id="34" name="Chart 33">
            <a:extLst>
              <a:ext uri="{FF2B5EF4-FFF2-40B4-BE49-F238E27FC236}">
                <a16:creationId xmlns:a16="http://schemas.microsoft.com/office/drawing/2014/main" id="{AE28A811-8D3C-4777-AB6F-1722BF6EFD9B}"/>
              </a:ext>
            </a:extLst>
          </xdr:cNvPr>
          <xdr:cNvGraphicFramePr>
            <a:graphicFrameLocks/>
          </xdr:cNvGraphicFramePr>
        </xdr:nvGraphicFramePr>
        <xdr:xfrm>
          <a:off x="4625119" y="7240767"/>
          <a:ext cx="4106959" cy="247108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575808</xdr:colOff>
      <xdr:row>8</xdr:row>
      <xdr:rowOff>118828</xdr:rowOff>
    </xdr:from>
    <xdr:to>
      <xdr:col>22</xdr:col>
      <xdr:colOff>136056</xdr:colOff>
      <xdr:row>22</xdr:row>
      <xdr:rowOff>172168</xdr:rowOff>
    </xdr:to>
    <xdr:grpSp>
      <xdr:nvGrpSpPr>
        <xdr:cNvPr id="39" name="Group 38">
          <a:extLst>
            <a:ext uri="{FF2B5EF4-FFF2-40B4-BE49-F238E27FC236}">
              <a16:creationId xmlns:a16="http://schemas.microsoft.com/office/drawing/2014/main" id="{CFF269A2-35FB-887E-7F8D-B2DB9EA5E656}"/>
            </a:ext>
          </a:extLst>
        </xdr:cNvPr>
        <xdr:cNvGrpSpPr/>
      </xdr:nvGrpSpPr>
      <xdr:grpSpPr>
        <a:xfrm>
          <a:off x="9185071" y="1616091"/>
          <a:ext cx="4479827" cy="2673551"/>
          <a:chOff x="8442960" y="3992880"/>
          <a:chExt cx="4434840" cy="2613660"/>
        </a:xfrm>
      </xdr:grpSpPr>
      <xdr:sp macro="" textlink="">
        <xdr:nvSpPr>
          <xdr:cNvPr id="37" name="Rectangle: Rounded Corners 36">
            <a:extLst>
              <a:ext uri="{FF2B5EF4-FFF2-40B4-BE49-F238E27FC236}">
                <a16:creationId xmlns:a16="http://schemas.microsoft.com/office/drawing/2014/main" id="{88B36867-BE27-7937-62D0-30964243C3D8}"/>
              </a:ext>
            </a:extLst>
          </xdr:cNvPr>
          <xdr:cNvSpPr/>
        </xdr:nvSpPr>
        <xdr:spPr>
          <a:xfrm>
            <a:off x="8442960" y="3992880"/>
            <a:ext cx="4434840" cy="2613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baseline="0"/>
              <a:t>Purchase Trend</a:t>
            </a:r>
          </a:p>
          <a:p>
            <a:pPr algn="ctr"/>
            <a:endParaRPr lang="en-IN" sz="1300" b="1"/>
          </a:p>
        </xdr:txBody>
      </xdr:sp>
      <xdr:graphicFrame macro="">
        <xdr:nvGraphicFramePr>
          <xdr:cNvPr id="35" name="Chart 34">
            <a:extLst>
              <a:ext uri="{FF2B5EF4-FFF2-40B4-BE49-F238E27FC236}">
                <a16:creationId xmlns:a16="http://schemas.microsoft.com/office/drawing/2014/main" id="{21D83D7D-22C0-40F7-B979-26E05C023D52}"/>
              </a:ext>
            </a:extLst>
          </xdr:cNvPr>
          <xdr:cNvGraphicFramePr>
            <a:graphicFrameLocks/>
          </xdr:cNvGraphicFramePr>
        </xdr:nvGraphicFramePr>
        <xdr:xfrm>
          <a:off x="8663940" y="4305300"/>
          <a:ext cx="3901440" cy="22402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25</xdr:col>
      <xdr:colOff>132520</xdr:colOff>
      <xdr:row>1</xdr:row>
      <xdr:rowOff>154609</xdr:rowOff>
    </xdr:from>
    <xdr:to>
      <xdr:col>26</xdr:col>
      <xdr:colOff>439529</xdr:colOff>
      <xdr:row>6</xdr:row>
      <xdr:rowOff>130313</xdr:rowOff>
    </xdr:to>
    <xdr:pic>
      <xdr:nvPicPr>
        <xdr:cNvPr id="49" name="Graphic 48" descr="Customer review with solid fill">
          <a:extLst>
            <a:ext uri="{FF2B5EF4-FFF2-40B4-BE49-F238E27FC236}">
              <a16:creationId xmlns:a16="http://schemas.microsoft.com/office/drawing/2014/main" id="{02BADD1E-E15B-BBA5-2844-4B9BA2934C3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317303" y="342348"/>
          <a:ext cx="914400" cy="914400"/>
        </a:xfrm>
        <a:prstGeom prst="rect">
          <a:avLst/>
        </a:prstGeom>
      </xdr:spPr>
    </xdr:pic>
    <xdr:clientData/>
  </xdr:twoCellAnchor>
  <xdr:twoCellAnchor editAs="oneCell">
    <xdr:from>
      <xdr:col>0</xdr:col>
      <xdr:colOff>39566</xdr:colOff>
      <xdr:row>1</xdr:row>
      <xdr:rowOff>83739</xdr:rowOff>
    </xdr:from>
    <xdr:to>
      <xdr:col>1</xdr:col>
      <xdr:colOff>346575</xdr:colOff>
      <xdr:row>6</xdr:row>
      <xdr:rowOff>59443</xdr:rowOff>
    </xdr:to>
    <xdr:pic>
      <xdr:nvPicPr>
        <xdr:cNvPr id="51" name="Graphic 50" descr="Target Audience with solid fill">
          <a:extLst>
            <a:ext uri="{FF2B5EF4-FFF2-40B4-BE49-F238E27FC236}">
              <a16:creationId xmlns:a16="http://schemas.microsoft.com/office/drawing/2014/main" id="{F12D600D-AC5C-8DC8-9A4F-2D3ED190EFE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566" y="271478"/>
          <a:ext cx="914400" cy="914400"/>
        </a:xfrm>
        <a:prstGeom prst="rect">
          <a:avLst/>
        </a:prstGeom>
      </xdr:spPr>
    </xdr:pic>
    <xdr:clientData/>
  </xdr:twoCellAnchor>
  <xdr:twoCellAnchor>
    <xdr:from>
      <xdr:col>22</xdr:col>
      <xdr:colOff>233051</xdr:colOff>
      <xdr:row>7</xdr:row>
      <xdr:rowOff>166381</xdr:rowOff>
    </xdr:from>
    <xdr:to>
      <xdr:col>27</xdr:col>
      <xdr:colOff>135869</xdr:colOff>
      <xdr:row>54</xdr:row>
      <xdr:rowOff>183445</xdr:rowOff>
    </xdr:to>
    <xdr:sp macro="" textlink="">
      <xdr:nvSpPr>
        <xdr:cNvPr id="55" name="Rectangle 54">
          <a:extLst>
            <a:ext uri="{FF2B5EF4-FFF2-40B4-BE49-F238E27FC236}">
              <a16:creationId xmlns:a16="http://schemas.microsoft.com/office/drawing/2014/main" id="{4B9FC5D4-9484-4F14-9696-8AD761CC86AE}"/>
            </a:ext>
          </a:extLst>
        </xdr:cNvPr>
        <xdr:cNvSpPr/>
      </xdr:nvSpPr>
      <xdr:spPr>
        <a:xfrm>
          <a:off x="13610384" y="1459472"/>
          <a:ext cx="2943121" cy="869924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SLICERS</a:t>
          </a:r>
          <a:r>
            <a:rPr lang="en-IN" sz="2000" b="1" baseline="0"/>
            <a:t> AND FLITERS</a:t>
          </a:r>
          <a:endParaRPr lang="en-IN" sz="2000" b="1"/>
        </a:p>
      </xdr:txBody>
    </xdr:sp>
    <xdr:clientData/>
  </xdr:twoCellAnchor>
  <xdr:twoCellAnchor editAs="oneCell">
    <xdr:from>
      <xdr:col>22</xdr:col>
      <xdr:colOff>461733</xdr:colOff>
      <xdr:row>19</xdr:row>
      <xdr:rowOff>117778</xdr:rowOff>
    </xdr:from>
    <xdr:to>
      <xdr:col>26</xdr:col>
      <xdr:colOff>592321</xdr:colOff>
      <xdr:row>30</xdr:row>
      <xdr:rowOff>153045</xdr:rowOff>
    </xdr:to>
    <mc:AlternateContent xmlns:mc="http://schemas.openxmlformats.org/markup-compatibility/2006">
      <mc:Choice xmlns:a14="http://schemas.microsoft.com/office/drawing/2010/main" Requires="a14">
        <xdr:graphicFrame macro="">
          <xdr:nvGraphicFramePr>
            <xdr:cNvPr id="56" name="City">
              <a:extLst>
                <a:ext uri="{FF2B5EF4-FFF2-40B4-BE49-F238E27FC236}">
                  <a16:creationId xmlns:a16="http://schemas.microsoft.com/office/drawing/2014/main" id="{9930AF7A-5D88-4402-A645-D9C58C1BA9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990575" y="3673778"/>
              <a:ext cx="2590378" cy="2094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469531</xdr:colOff>
      <xdr:row>31</xdr:row>
      <xdr:rowOff>65390</xdr:rowOff>
    </xdr:from>
    <xdr:to>
      <xdr:col>26</xdr:col>
      <xdr:colOff>603166</xdr:colOff>
      <xdr:row>38</xdr:row>
      <xdr:rowOff>51190</xdr:rowOff>
    </xdr:to>
    <mc:AlternateContent xmlns:mc="http://schemas.openxmlformats.org/markup-compatibility/2006">
      <mc:Choice xmlns:a14="http://schemas.microsoft.com/office/drawing/2010/main" Requires="a14">
        <xdr:graphicFrame macro="">
          <xdr:nvGraphicFramePr>
            <xdr:cNvPr id="57" name="Channel">
              <a:extLst>
                <a:ext uri="{FF2B5EF4-FFF2-40B4-BE49-F238E27FC236}">
                  <a16:creationId xmlns:a16="http://schemas.microsoft.com/office/drawing/2014/main" id="{B22E11C5-836E-4C9A-8FB8-815E24E7F96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3998373" y="5867285"/>
              <a:ext cx="2593425" cy="129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466890</xdr:colOff>
      <xdr:row>38</xdr:row>
      <xdr:rowOff>135978</xdr:rowOff>
    </xdr:from>
    <xdr:to>
      <xdr:col>26</xdr:col>
      <xdr:colOff>600525</xdr:colOff>
      <xdr:row>46</xdr:row>
      <xdr:rowOff>114462</xdr:rowOff>
    </xdr:to>
    <mc:AlternateContent xmlns:mc="http://schemas.openxmlformats.org/markup-compatibility/2006">
      <mc:Choice xmlns:a14="http://schemas.microsoft.com/office/drawing/2010/main" Requires="a14">
        <xdr:graphicFrame macro="">
          <xdr:nvGraphicFramePr>
            <xdr:cNvPr id="58" name="Customer Segment">
              <a:extLst>
                <a:ext uri="{FF2B5EF4-FFF2-40B4-BE49-F238E27FC236}">
                  <a16:creationId xmlns:a16="http://schemas.microsoft.com/office/drawing/2014/main" id="{041682E1-52E8-4E1E-99C5-7F64826E077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3995732" y="7247978"/>
              <a:ext cx="2593425" cy="1475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450505</xdr:colOff>
      <xdr:row>47</xdr:row>
      <xdr:rowOff>62321</xdr:rowOff>
    </xdr:from>
    <xdr:to>
      <xdr:col>26</xdr:col>
      <xdr:colOff>585304</xdr:colOff>
      <xdr:row>53</xdr:row>
      <xdr:rowOff>157903</xdr:rowOff>
    </xdr:to>
    <mc:AlternateContent xmlns:mc="http://schemas.openxmlformats.org/markup-compatibility/2006">
      <mc:Choice xmlns:a14="http://schemas.microsoft.com/office/drawing/2010/main" Requires="a14">
        <xdr:graphicFrame macro="">
          <xdr:nvGraphicFramePr>
            <xdr:cNvPr id="59" name="Retention Status">
              <a:extLst>
                <a:ext uri="{FF2B5EF4-FFF2-40B4-BE49-F238E27FC236}">
                  <a16:creationId xmlns:a16="http://schemas.microsoft.com/office/drawing/2014/main" id="{5BD8A7D6-F9F1-4274-88F8-8A2157FFE2DD}"/>
                </a:ext>
              </a:extLst>
            </xdr:cNvPr>
            <xdr:cNvGraphicFramePr/>
          </xdr:nvGraphicFramePr>
          <xdr:xfrm>
            <a:off x="0" y="0"/>
            <a:ext cx="0" cy="0"/>
          </xdr:xfrm>
          <a:graphic>
            <a:graphicData uri="http://schemas.microsoft.com/office/drawing/2010/slicer">
              <sle:slicer xmlns:sle="http://schemas.microsoft.com/office/drawing/2010/slicer" name="Retention Status"/>
            </a:graphicData>
          </a:graphic>
        </xdr:graphicFrame>
      </mc:Choice>
      <mc:Fallback>
        <xdr:sp macro="" textlink="">
          <xdr:nvSpPr>
            <xdr:cNvPr id="0" name=""/>
            <xdr:cNvSpPr>
              <a:spLocks noTextEdit="1"/>
            </xdr:cNvSpPr>
          </xdr:nvSpPr>
          <xdr:spPr>
            <a:xfrm>
              <a:off x="13979347" y="8858742"/>
              <a:ext cx="2594589" cy="1218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461618</xdr:colOff>
      <xdr:row>11</xdr:row>
      <xdr:rowOff>7422</xdr:rowOff>
    </xdr:from>
    <xdr:to>
      <xdr:col>26</xdr:col>
      <xdr:colOff>595253</xdr:colOff>
      <xdr:row>18</xdr:row>
      <xdr:rowOff>169836</xdr:rowOff>
    </xdr:to>
    <mc:AlternateContent xmlns:mc="http://schemas.openxmlformats.org/markup-compatibility/2006">
      <mc:Choice xmlns:tsle="http://schemas.microsoft.com/office/drawing/2012/timeslicer" Requires="tsle">
        <xdr:graphicFrame macro="">
          <xdr:nvGraphicFramePr>
            <xdr:cNvPr id="60" name="Last Purchase">
              <a:extLst>
                <a:ext uri="{FF2B5EF4-FFF2-40B4-BE49-F238E27FC236}">
                  <a16:creationId xmlns:a16="http://schemas.microsoft.com/office/drawing/2014/main" id="{27753D13-7012-4EC4-B055-3DD4E39A8442}"/>
                </a:ext>
              </a:extLst>
            </xdr:cNvPr>
            <xdr:cNvGraphicFramePr/>
          </xdr:nvGraphicFramePr>
          <xdr:xfrm>
            <a:off x="0" y="0"/>
            <a:ext cx="0" cy="0"/>
          </xdr:xfrm>
          <a:graphic>
            <a:graphicData uri="http://schemas.microsoft.com/office/drawing/2012/timeslicer">
              <tsle:timeslicer xmlns:tsle="http://schemas.microsoft.com/office/drawing/2012/timeslicer" name="Last Purchase"/>
            </a:graphicData>
          </a:graphic>
        </xdr:graphicFrame>
      </mc:Choice>
      <mc:Fallback>
        <xdr:sp macro="" textlink="">
          <xdr:nvSpPr>
            <xdr:cNvPr id="0" name=""/>
            <xdr:cNvSpPr>
              <a:spLocks noTextEdit="1"/>
            </xdr:cNvSpPr>
          </xdr:nvSpPr>
          <xdr:spPr>
            <a:xfrm>
              <a:off x="13990460" y="2066159"/>
              <a:ext cx="2593425" cy="14725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579863</xdr:colOff>
      <xdr:row>23</xdr:row>
      <xdr:rowOff>133397</xdr:rowOff>
    </xdr:from>
    <xdr:to>
      <xdr:col>22</xdr:col>
      <xdr:colOff>166914</xdr:colOff>
      <xdr:row>39</xdr:row>
      <xdr:rowOff>65314</xdr:rowOff>
    </xdr:to>
    <xdr:grpSp>
      <xdr:nvGrpSpPr>
        <xdr:cNvPr id="77" name="Group 76">
          <a:extLst>
            <a:ext uri="{FF2B5EF4-FFF2-40B4-BE49-F238E27FC236}">
              <a16:creationId xmlns:a16="http://schemas.microsoft.com/office/drawing/2014/main" id="{DFECFCEC-D837-8E6E-6845-BDB4DE3DA28B}"/>
            </a:ext>
          </a:extLst>
        </xdr:cNvPr>
        <xdr:cNvGrpSpPr/>
      </xdr:nvGrpSpPr>
      <xdr:grpSpPr>
        <a:xfrm>
          <a:off x="9189126" y="4438029"/>
          <a:ext cx="4506630" cy="2926443"/>
          <a:chOff x="8787692" y="5583512"/>
          <a:chExt cx="4463851" cy="2834774"/>
        </a:xfrm>
      </xdr:grpSpPr>
      <xdr:sp macro="" textlink="">
        <xdr:nvSpPr>
          <xdr:cNvPr id="75" name="Rectangle: Rounded Corners 74">
            <a:extLst>
              <a:ext uri="{FF2B5EF4-FFF2-40B4-BE49-F238E27FC236}">
                <a16:creationId xmlns:a16="http://schemas.microsoft.com/office/drawing/2014/main" id="{9BBB46E1-D550-342B-4A41-9C18F6BAB0DB}"/>
              </a:ext>
            </a:extLst>
          </xdr:cNvPr>
          <xdr:cNvSpPr/>
        </xdr:nvSpPr>
        <xdr:spPr>
          <a:xfrm>
            <a:off x="8787692" y="5583512"/>
            <a:ext cx="4434839" cy="2595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baseline="0"/>
              <a:t>Customer by Region</a:t>
            </a:r>
          </a:p>
          <a:p>
            <a:pPr algn="ctr"/>
            <a:endParaRPr lang="en-IN" sz="1300" b="1" baseline="0"/>
          </a:p>
          <a:p>
            <a:pPr algn="ctr"/>
            <a:endParaRPr lang="en-IN" sz="1300" b="1"/>
          </a:p>
        </xdr:txBody>
      </xdr:sp>
      <xdr:graphicFrame macro="">
        <xdr:nvGraphicFramePr>
          <xdr:cNvPr id="73" name="Chart 72">
            <a:extLst>
              <a:ext uri="{FF2B5EF4-FFF2-40B4-BE49-F238E27FC236}">
                <a16:creationId xmlns:a16="http://schemas.microsoft.com/office/drawing/2014/main" id="{014143AB-F207-4CB6-9707-BBB52A1348AE}"/>
              </a:ext>
            </a:extLst>
          </xdr:cNvPr>
          <xdr:cNvGraphicFramePr>
            <a:graphicFrameLocks/>
          </xdr:cNvGraphicFramePr>
        </xdr:nvGraphicFramePr>
        <xdr:xfrm>
          <a:off x="8790108" y="5887677"/>
          <a:ext cx="4461435" cy="253060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aesh S" refreshedDate="46125.882334027781" createdVersion="8" refreshedVersion="8" minRefreshableVersion="3" recordCount="100" xr:uid="{EF90D22E-FD66-4859-9A0F-E0DDCFCF5C52}">
  <cacheSource type="worksheet">
    <worksheetSource ref="A1:U101" sheet="Segmentation"/>
  </cacheSource>
  <cacheFields count="23">
    <cacheField name="Customer 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 numFmtId="1">
      <sharedItems containsSemiMixedTypes="0" containsString="0" containsNumber="1" containsInteger="1" minValue="22" maxValue="60"/>
    </cacheField>
    <cacheField name="Gender" numFmtId="0">
      <sharedItems/>
    </cacheField>
    <cacheField name="City" numFmtId="0">
      <sharedItems count="6">
        <s v="Chennai"/>
        <s v="Bangalore"/>
        <s v="Mumbai"/>
        <s v="Delhi"/>
        <s v="Hyderabad"/>
        <s v="Pune"/>
      </sharedItems>
    </cacheField>
    <cacheField name="Income" numFmtId="1">
      <sharedItems containsSemiMixedTypes="0" containsString="0" containsNumber="1" containsInteger="1" minValue="25584" maxValue="99753"/>
    </cacheField>
    <cacheField name="Occupation" numFmtId="0">
      <sharedItems/>
    </cacheField>
    <cacheField name="Purchase Frequency" numFmtId="1">
      <sharedItems containsSemiMixedTypes="0" containsString="0" containsNumber="1" containsInteger="1" minValue="1" maxValue="12"/>
    </cacheField>
    <cacheField name="Avg Order Value" numFmtId="1">
      <sharedItems containsSemiMixedTypes="0" containsString="0" containsNumber="1" containsInteger="1" minValue="566" maxValue="5000"/>
    </cacheField>
    <cacheField name="Total Spending" numFmtId="1">
      <sharedItems containsSemiMixedTypes="0" containsString="0" containsNumber="1" containsInteger="1" minValue="1772" maxValue="59376"/>
    </cacheField>
    <cacheField name="Category" numFmtId="0">
      <sharedItems count="4">
        <s v="Electronics"/>
        <s v="Fashion"/>
        <s v="Home"/>
        <s v="Beauty"/>
      </sharedItems>
    </cacheField>
    <cacheField name="Channel" numFmtId="0">
      <sharedItems count="2">
        <s v="Online"/>
        <s v="Offline"/>
      </sharedItems>
    </cacheField>
    <cacheField name="Type" numFmtId="0">
      <sharedItems/>
    </cacheField>
    <cacheField name="Engagement" numFmtId="0">
      <sharedItems/>
    </cacheField>
    <cacheField name="Discount Sensitivity" numFmtId="0">
      <sharedItems/>
    </cacheField>
    <cacheField name="Last Purchase" numFmtId="171">
      <sharedItems containsSemiMixedTypes="0" containsNonDate="0" containsDate="1" containsString="0" minDate="2026-01-02T00:00:00" maxDate="2026-04-01T00:00:00" count="63">
        <d v="2026-03-01T00:00:00"/>
        <d v="2026-03-15T00:00:00"/>
        <d v="2026-02-20T00:00:00"/>
        <d v="2026-03-10T00:00:00"/>
        <d v="2026-03-18T00:00:00"/>
        <d v="2026-02-05T00:00:00"/>
        <d v="2026-03-12T00:00:00"/>
        <d v="2026-03-20T00:00:00"/>
        <d v="2026-02-25T00:00:00"/>
        <d v="2026-03-08T00:00:00"/>
        <d v="2026-02-28T00:00:00"/>
        <d v="2026-02-04T00:00:00"/>
        <d v="2026-03-21T00:00:00"/>
        <d v="2026-02-16T00:00:00"/>
        <d v="2026-02-26T00:00:00"/>
        <d v="2026-03-23T00:00:00"/>
        <d v="2026-03-26T00:00:00"/>
        <d v="2026-02-03T00:00:00"/>
        <d v="2026-02-11T00:00:00"/>
        <d v="2026-03-22T00:00:00"/>
        <d v="2026-02-06T00:00:00"/>
        <d v="2026-02-13T00:00:00"/>
        <d v="2026-01-14T00:00:00"/>
        <d v="2026-01-11T00:00:00"/>
        <d v="2026-02-08T00:00:00"/>
        <d v="2026-03-07T00:00:00"/>
        <d v="2026-02-24T00:00:00"/>
        <d v="2026-02-09T00:00:00"/>
        <d v="2026-01-09T00:00:00"/>
        <d v="2026-03-31T00:00:00"/>
        <d v="2026-02-22T00:00:00"/>
        <d v="2026-03-24T00:00:00"/>
        <d v="2026-03-05T00:00:00"/>
        <d v="2026-03-02T00:00:00"/>
        <d v="2026-01-22T00:00:00"/>
        <d v="2026-02-18T00:00:00"/>
        <d v="2026-03-19T00:00:00"/>
        <d v="2026-01-10T00:00:00"/>
        <d v="2026-01-21T00:00:00"/>
        <d v="2026-01-13T00:00:00"/>
        <d v="2026-01-03T00:00:00"/>
        <d v="2026-03-28T00:00:00"/>
        <d v="2026-03-30T00:00:00"/>
        <d v="2026-01-06T00:00:00"/>
        <d v="2026-01-27T00:00:00"/>
        <d v="2026-01-17T00:00:00"/>
        <d v="2026-03-16T00:00:00"/>
        <d v="2026-03-14T00:00:00"/>
        <d v="2026-02-02T00:00:00"/>
        <d v="2026-01-29T00:00:00"/>
        <d v="2026-03-27T00:00:00"/>
        <d v="2026-03-29T00:00:00"/>
        <d v="2026-02-01T00:00:00"/>
        <d v="2026-01-26T00:00:00"/>
        <d v="2026-02-14T00:00:00"/>
        <d v="2026-03-06T00:00:00"/>
        <d v="2026-03-17T00:00:00"/>
        <d v="2026-01-16T00:00:00"/>
        <d v="2026-01-02T00:00:00"/>
        <d v="2026-02-10T00:00:00"/>
        <d v="2026-01-08T00:00:00"/>
        <d v="2026-01-30T00:00:00"/>
        <d v="2026-01-18T00:00:00"/>
      </sharedItems>
      <fieldGroup par="22"/>
    </cacheField>
    <cacheField name="Spending Score" numFmtId="0">
      <sharedItems containsSemiMixedTypes="0" containsString="0" containsNumber="1" containsInteger="1" minValue="1" maxValue="3"/>
    </cacheField>
    <cacheField name="Frequency Score" numFmtId="0">
      <sharedItems containsSemiMixedTypes="0" containsString="0" containsNumber="1" containsInteger="1" minValue="1" maxValue="3"/>
    </cacheField>
    <cacheField name="Engagement Score" numFmtId="0">
      <sharedItems containsSemiMixedTypes="0" containsString="0" containsNumber="1" containsInteger="1" minValue="1" maxValue="3"/>
    </cacheField>
    <cacheField name="Total Score" numFmtId="0">
      <sharedItems containsSemiMixedTypes="0" containsString="0" containsNumber="1" containsInteger="1" minValue="3" maxValue="9"/>
    </cacheField>
    <cacheField name="Customer Segment" numFmtId="0">
      <sharedItems count="3">
        <s v="Medium Value"/>
        <s v="Low Value"/>
        <s v="High Value"/>
      </sharedItems>
    </cacheField>
    <cacheField name="Retention Status" numFmtId="0">
      <sharedItems count="2">
        <s v="Retained"/>
        <s v="At Risk"/>
      </sharedItems>
    </cacheField>
    <cacheField name="Days (Last Purchase)" numFmtId="0" databaseField="0">
      <fieldGroup base="14">
        <rangePr groupBy="days" startDate="2026-01-02T00:00:00" endDate="2026-04-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6"/>
        </groupItems>
      </fieldGroup>
    </cacheField>
    <cacheField name="Months (Last Purchase)" numFmtId="0" databaseField="0">
      <fieldGroup base="14">
        <rangePr groupBy="months" startDate="2026-01-02T00:00:00" endDate="2026-04-01T00:00:00"/>
        <groupItems count="14">
          <s v="&lt;02-01-2026"/>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561498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25"/>
    <s v="Male"/>
    <x v="0"/>
    <n v="30000"/>
    <s v="Student"/>
    <n v="5"/>
    <n v="1200"/>
    <n v="6000"/>
    <x v="0"/>
    <x v="0"/>
    <s v="New"/>
    <s v="High"/>
    <s v="High"/>
    <x v="0"/>
    <n v="1"/>
    <n v="2"/>
    <n v="3"/>
    <n v="6"/>
    <x v="0"/>
    <x v="0"/>
  </r>
  <r>
    <x v="1"/>
    <n v="32"/>
    <s v="Female"/>
    <x v="1"/>
    <n v="60000"/>
    <s v="IT"/>
    <n v="8"/>
    <n v="2500"/>
    <n v="20000"/>
    <x v="1"/>
    <x v="0"/>
    <s v="Returning"/>
    <s v="Medium"/>
    <s v="Medium"/>
    <x v="1"/>
    <n v="2"/>
    <n v="3"/>
    <n v="2"/>
    <n v="7"/>
    <x v="0"/>
    <x v="0"/>
  </r>
  <r>
    <x v="2"/>
    <n v="45"/>
    <s v="Male"/>
    <x v="2"/>
    <n v="90000"/>
    <s v="Manager"/>
    <n v="3"/>
    <n v="5000"/>
    <n v="15000"/>
    <x v="2"/>
    <x v="1"/>
    <s v="Returning"/>
    <s v="Low"/>
    <s v="Low"/>
    <x v="2"/>
    <n v="2"/>
    <n v="1"/>
    <n v="1"/>
    <n v="4"/>
    <x v="1"/>
    <x v="1"/>
  </r>
  <r>
    <x v="3"/>
    <n v="29"/>
    <s v="Female"/>
    <x v="3"/>
    <n v="40000"/>
    <s v="Teacher"/>
    <n v="6"/>
    <n v="1800"/>
    <n v="10800"/>
    <x v="3"/>
    <x v="0"/>
    <s v="New"/>
    <s v="High"/>
    <s v="High"/>
    <x v="3"/>
    <n v="2"/>
    <n v="2"/>
    <n v="3"/>
    <n v="7"/>
    <x v="0"/>
    <x v="0"/>
  </r>
  <r>
    <x v="4"/>
    <n v="38"/>
    <s v="Male"/>
    <x v="4"/>
    <n v="70000"/>
    <s v="Engineer"/>
    <n v="10"/>
    <n v="3000"/>
    <n v="30000"/>
    <x v="0"/>
    <x v="0"/>
    <s v="Returning"/>
    <s v="High"/>
    <s v="Low"/>
    <x v="4"/>
    <n v="3"/>
    <n v="3"/>
    <n v="3"/>
    <n v="9"/>
    <x v="2"/>
    <x v="0"/>
  </r>
  <r>
    <x v="5"/>
    <n v="50"/>
    <s v="Female"/>
    <x v="5"/>
    <n v="50000"/>
    <s v="Business"/>
    <n v="2"/>
    <n v="4000"/>
    <n v="8000"/>
    <x v="2"/>
    <x v="1"/>
    <s v="Returning"/>
    <s v="Low"/>
    <s v="Medium"/>
    <x v="5"/>
    <n v="1"/>
    <n v="1"/>
    <n v="1"/>
    <n v="3"/>
    <x v="1"/>
    <x v="1"/>
  </r>
  <r>
    <x v="6"/>
    <n v="27"/>
    <s v="Male"/>
    <x v="0"/>
    <n v="35000"/>
    <s v="Student"/>
    <n v="7"/>
    <n v="1500"/>
    <n v="10500"/>
    <x v="1"/>
    <x v="0"/>
    <s v="New"/>
    <s v="Medium"/>
    <s v="High"/>
    <x v="6"/>
    <n v="2"/>
    <n v="2"/>
    <n v="2"/>
    <n v="6"/>
    <x v="0"/>
    <x v="0"/>
  </r>
  <r>
    <x v="7"/>
    <n v="34"/>
    <s v="Female"/>
    <x v="1"/>
    <n v="80000"/>
    <s v="IT"/>
    <n v="9"/>
    <n v="2700"/>
    <n v="24300"/>
    <x v="0"/>
    <x v="0"/>
    <s v="Returning"/>
    <s v="High"/>
    <s v="Low"/>
    <x v="7"/>
    <n v="2"/>
    <n v="3"/>
    <n v="3"/>
    <n v="8"/>
    <x v="2"/>
    <x v="0"/>
  </r>
  <r>
    <x v="8"/>
    <n v="41"/>
    <s v="Male"/>
    <x v="2"/>
    <n v="95000"/>
    <s v="Manager"/>
    <n v="4"/>
    <n v="4500"/>
    <n v="18000"/>
    <x v="2"/>
    <x v="1"/>
    <s v="Returning"/>
    <s v="Medium"/>
    <s v="Low"/>
    <x v="8"/>
    <n v="2"/>
    <n v="2"/>
    <n v="2"/>
    <n v="6"/>
    <x v="0"/>
    <x v="1"/>
  </r>
  <r>
    <x v="9"/>
    <n v="30"/>
    <s v="Female"/>
    <x v="3"/>
    <n v="42000"/>
    <s v="Teacher"/>
    <n v="6"/>
    <n v="2000"/>
    <n v="12000"/>
    <x v="3"/>
    <x v="0"/>
    <s v="New"/>
    <s v="Medium"/>
    <s v="Medium"/>
    <x v="9"/>
    <n v="2"/>
    <n v="2"/>
    <n v="2"/>
    <n v="6"/>
    <x v="0"/>
    <x v="0"/>
  </r>
  <r>
    <x v="10"/>
    <n v="30"/>
    <s v="Male"/>
    <x v="1"/>
    <n v="59146"/>
    <s v="IT"/>
    <n v="11"/>
    <n v="1075"/>
    <n v="11825"/>
    <x v="3"/>
    <x v="0"/>
    <s v="Returning"/>
    <s v="Medium"/>
    <s v="High"/>
    <x v="10"/>
    <n v="2"/>
    <n v="3"/>
    <n v="2"/>
    <n v="7"/>
    <x v="0"/>
    <x v="1"/>
  </r>
  <r>
    <x v="11"/>
    <n v="49"/>
    <s v="Female"/>
    <x v="3"/>
    <n v="42383"/>
    <s v="Student"/>
    <n v="7"/>
    <n v="1368"/>
    <n v="9576"/>
    <x v="0"/>
    <x v="0"/>
    <s v="Returning"/>
    <s v="Medium"/>
    <s v="Medium"/>
    <x v="11"/>
    <n v="1"/>
    <n v="2"/>
    <n v="2"/>
    <n v="5"/>
    <x v="0"/>
    <x v="1"/>
  </r>
  <r>
    <x v="12"/>
    <n v="37"/>
    <s v="Male"/>
    <x v="4"/>
    <n v="55412"/>
    <s v="Manager"/>
    <n v="8"/>
    <n v="3192"/>
    <n v="25536"/>
    <x v="3"/>
    <x v="1"/>
    <s v="Returning"/>
    <s v="High"/>
    <s v="High"/>
    <x v="12"/>
    <n v="3"/>
    <n v="3"/>
    <n v="3"/>
    <n v="9"/>
    <x v="2"/>
    <x v="0"/>
  </r>
  <r>
    <x v="13"/>
    <n v="31"/>
    <s v="Female"/>
    <x v="2"/>
    <n v="86225"/>
    <s v="Manager"/>
    <n v="9"/>
    <n v="3295"/>
    <n v="29655"/>
    <x v="2"/>
    <x v="0"/>
    <s v="Returning"/>
    <s v="Low"/>
    <s v="High"/>
    <x v="13"/>
    <n v="3"/>
    <n v="3"/>
    <n v="1"/>
    <n v="7"/>
    <x v="0"/>
    <x v="1"/>
  </r>
  <r>
    <x v="14"/>
    <n v="24"/>
    <s v="Male"/>
    <x v="3"/>
    <n v="77958"/>
    <s v="Student"/>
    <n v="12"/>
    <n v="1493"/>
    <n v="17916"/>
    <x v="0"/>
    <x v="1"/>
    <s v="New"/>
    <s v="Low"/>
    <s v="Low"/>
    <x v="4"/>
    <n v="2"/>
    <n v="3"/>
    <n v="1"/>
    <n v="6"/>
    <x v="0"/>
    <x v="0"/>
  </r>
  <r>
    <x v="15"/>
    <n v="31"/>
    <s v="Female"/>
    <x v="0"/>
    <n v="29108"/>
    <s v="Teacher"/>
    <n v="12"/>
    <n v="1095"/>
    <n v="13140"/>
    <x v="3"/>
    <x v="0"/>
    <s v="Returning"/>
    <s v="Medium"/>
    <s v="Medium"/>
    <x v="14"/>
    <n v="2"/>
    <n v="3"/>
    <n v="2"/>
    <n v="7"/>
    <x v="0"/>
    <x v="1"/>
  </r>
  <r>
    <x v="16"/>
    <n v="43"/>
    <s v="Male"/>
    <x v="4"/>
    <n v="33625"/>
    <s v="Student"/>
    <n v="9"/>
    <n v="3106"/>
    <n v="27954"/>
    <x v="0"/>
    <x v="0"/>
    <s v="Returning"/>
    <s v="High"/>
    <s v="High"/>
    <x v="13"/>
    <n v="3"/>
    <n v="3"/>
    <n v="3"/>
    <n v="9"/>
    <x v="2"/>
    <x v="1"/>
  </r>
  <r>
    <x v="17"/>
    <n v="45"/>
    <s v="Male"/>
    <x v="4"/>
    <n v="30820"/>
    <s v="Manager"/>
    <n v="10"/>
    <n v="4958"/>
    <n v="49580"/>
    <x v="1"/>
    <x v="1"/>
    <s v="Returning"/>
    <s v="Medium"/>
    <s v="Low"/>
    <x v="15"/>
    <n v="3"/>
    <n v="3"/>
    <n v="2"/>
    <n v="8"/>
    <x v="2"/>
    <x v="0"/>
  </r>
  <r>
    <x v="18"/>
    <n v="42"/>
    <s v="Female"/>
    <x v="0"/>
    <n v="94746"/>
    <s v="Manager"/>
    <n v="12"/>
    <n v="3267"/>
    <n v="39204"/>
    <x v="1"/>
    <x v="1"/>
    <s v="Returning"/>
    <s v="High"/>
    <s v="Low"/>
    <x v="16"/>
    <n v="3"/>
    <n v="3"/>
    <n v="3"/>
    <n v="9"/>
    <x v="2"/>
    <x v="0"/>
  </r>
  <r>
    <x v="19"/>
    <n v="35"/>
    <s v="Male"/>
    <x v="5"/>
    <n v="91313"/>
    <s v="Manager"/>
    <n v="1"/>
    <n v="1772"/>
    <n v="1772"/>
    <x v="1"/>
    <x v="0"/>
    <s v="New"/>
    <s v="Low"/>
    <s v="High"/>
    <x v="17"/>
    <n v="1"/>
    <n v="1"/>
    <n v="1"/>
    <n v="3"/>
    <x v="1"/>
    <x v="1"/>
  </r>
  <r>
    <x v="20"/>
    <n v="39"/>
    <s v="Female"/>
    <x v="3"/>
    <n v="66153"/>
    <s v="Teacher"/>
    <n v="10"/>
    <n v="596"/>
    <n v="5960"/>
    <x v="0"/>
    <x v="1"/>
    <s v="New"/>
    <s v="High"/>
    <s v="High"/>
    <x v="18"/>
    <n v="1"/>
    <n v="3"/>
    <n v="3"/>
    <n v="7"/>
    <x v="0"/>
    <x v="1"/>
  </r>
  <r>
    <x v="21"/>
    <n v="41"/>
    <s v="Female"/>
    <x v="5"/>
    <n v="60528"/>
    <s v="Teacher"/>
    <n v="1"/>
    <n v="4764"/>
    <n v="4764"/>
    <x v="3"/>
    <x v="1"/>
    <s v="Returning"/>
    <s v="Medium"/>
    <s v="Medium"/>
    <x v="19"/>
    <n v="1"/>
    <n v="1"/>
    <n v="2"/>
    <n v="4"/>
    <x v="1"/>
    <x v="0"/>
  </r>
  <r>
    <x v="22"/>
    <n v="41"/>
    <s v="Male"/>
    <x v="2"/>
    <n v="62298"/>
    <s v="Teacher"/>
    <n v="11"/>
    <n v="3941"/>
    <n v="43351"/>
    <x v="2"/>
    <x v="0"/>
    <s v="Returning"/>
    <s v="Low"/>
    <s v="Low"/>
    <x v="20"/>
    <n v="3"/>
    <n v="3"/>
    <n v="1"/>
    <n v="7"/>
    <x v="0"/>
    <x v="1"/>
  </r>
  <r>
    <x v="23"/>
    <n v="50"/>
    <s v="Male"/>
    <x v="1"/>
    <n v="42100"/>
    <s v="Teacher"/>
    <n v="10"/>
    <n v="3465"/>
    <n v="34650"/>
    <x v="2"/>
    <x v="0"/>
    <s v="Returning"/>
    <s v="High"/>
    <s v="High"/>
    <x v="2"/>
    <n v="3"/>
    <n v="3"/>
    <n v="3"/>
    <n v="9"/>
    <x v="2"/>
    <x v="1"/>
  </r>
  <r>
    <x v="24"/>
    <n v="34"/>
    <s v="Male"/>
    <x v="5"/>
    <n v="99753"/>
    <s v="Engineer"/>
    <n v="4"/>
    <n v="566"/>
    <n v="2264"/>
    <x v="1"/>
    <x v="1"/>
    <s v="New"/>
    <s v="High"/>
    <s v="Low"/>
    <x v="21"/>
    <n v="1"/>
    <n v="2"/>
    <n v="3"/>
    <n v="6"/>
    <x v="0"/>
    <x v="1"/>
  </r>
  <r>
    <x v="25"/>
    <n v="52"/>
    <s v="Female"/>
    <x v="1"/>
    <n v="69423"/>
    <s v="Student"/>
    <n v="9"/>
    <n v="3699"/>
    <n v="33291"/>
    <x v="0"/>
    <x v="1"/>
    <s v="Returning"/>
    <s v="Low"/>
    <s v="Medium"/>
    <x v="22"/>
    <n v="3"/>
    <n v="3"/>
    <n v="1"/>
    <n v="7"/>
    <x v="0"/>
    <x v="1"/>
  </r>
  <r>
    <x v="26"/>
    <n v="43"/>
    <s v="Female"/>
    <x v="3"/>
    <n v="36944"/>
    <s v="Engineer"/>
    <n v="5"/>
    <n v="1887"/>
    <n v="9435"/>
    <x v="1"/>
    <x v="1"/>
    <s v="Returning"/>
    <s v="High"/>
    <s v="High"/>
    <x v="23"/>
    <n v="1"/>
    <n v="2"/>
    <n v="3"/>
    <n v="6"/>
    <x v="0"/>
    <x v="1"/>
  </r>
  <r>
    <x v="27"/>
    <n v="56"/>
    <s v="Male"/>
    <x v="3"/>
    <n v="25584"/>
    <s v="Engineer"/>
    <n v="7"/>
    <n v="2129"/>
    <n v="14903"/>
    <x v="0"/>
    <x v="1"/>
    <s v="Returning"/>
    <s v="High"/>
    <s v="Medium"/>
    <x v="12"/>
    <n v="2"/>
    <n v="2"/>
    <n v="3"/>
    <n v="7"/>
    <x v="0"/>
    <x v="0"/>
  </r>
  <r>
    <x v="28"/>
    <n v="22"/>
    <s v="Female"/>
    <x v="0"/>
    <n v="72375"/>
    <s v="Student"/>
    <n v="6"/>
    <n v="929"/>
    <n v="5574"/>
    <x v="1"/>
    <x v="0"/>
    <s v="Returning"/>
    <s v="Medium"/>
    <s v="Medium"/>
    <x v="24"/>
    <n v="1"/>
    <n v="2"/>
    <n v="2"/>
    <n v="5"/>
    <x v="0"/>
    <x v="1"/>
  </r>
  <r>
    <x v="29"/>
    <n v="60"/>
    <s v="Female"/>
    <x v="3"/>
    <n v="29365"/>
    <s v="IT"/>
    <n v="11"/>
    <n v="2170"/>
    <n v="23870"/>
    <x v="0"/>
    <x v="1"/>
    <s v="New"/>
    <s v="High"/>
    <s v="High"/>
    <x v="25"/>
    <n v="2"/>
    <n v="3"/>
    <n v="3"/>
    <n v="8"/>
    <x v="2"/>
    <x v="0"/>
  </r>
  <r>
    <x v="30"/>
    <n v="59"/>
    <s v="Male"/>
    <x v="2"/>
    <n v="49757"/>
    <s v="Engineer"/>
    <n v="6"/>
    <n v="2564"/>
    <n v="15384"/>
    <x v="2"/>
    <x v="1"/>
    <s v="Returning"/>
    <s v="Low"/>
    <s v="Medium"/>
    <x v="26"/>
    <n v="2"/>
    <n v="2"/>
    <n v="1"/>
    <n v="5"/>
    <x v="0"/>
    <x v="1"/>
  </r>
  <r>
    <x v="31"/>
    <n v="55"/>
    <s v="Female"/>
    <x v="3"/>
    <n v="86123"/>
    <s v="Teacher"/>
    <n v="2"/>
    <n v="2211"/>
    <n v="4422"/>
    <x v="3"/>
    <x v="1"/>
    <s v="Returning"/>
    <s v="High"/>
    <s v="Low"/>
    <x v="27"/>
    <n v="1"/>
    <n v="1"/>
    <n v="3"/>
    <n v="5"/>
    <x v="0"/>
    <x v="1"/>
  </r>
  <r>
    <x v="32"/>
    <n v="25"/>
    <s v="Male"/>
    <x v="4"/>
    <n v="62759"/>
    <s v="Student"/>
    <n v="8"/>
    <n v="4795"/>
    <n v="38360"/>
    <x v="1"/>
    <x v="1"/>
    <s v="Returning"/>
    <s v="Medium"/>
    <s v="Low"/>
    <x v="5"/>
    <n v="3"/>
    <n v="3"/>
    <n v="2"/>
    <n v="8"/>
    <x v="2"/>
    <x v="1"/>
  </r>
  <r>
    <x v="33"/>
    <n v="58"/>
    <s v="Female"/>
    <x v="4"/>
    <n v="81366"/>
    <s v="Student"/>
    <n v="6"/>
    <n v="3613"/>
    <n v="21678"/>
    <x v="1"/>
    <x v="0"/>
    <s v="New"/>
    <s v="Low"/>
    <s v="Low"/>
    <x v="28"/>
    <n v="2"/>
    <n v="2"/>
    <n v="1"/>
    <n v="5"/>
    <x v="0"/>
    <x v="1"/>
  </r>
  <r>
    <x v="34"/>
    <n v="51"/>
    <s v="Male"/>
    <x v="3"/>
    <n v="88402"/>
    <s v="Student"/>
    <n v="3"/>
    <n v="2374"/>
    <n v="7122"/>
    <x v="1"/>
    <x v="0"/>
    <s v="Returning"/>
    <s v="Medium"/>
    <s v="Medium"/>
    <x v="29"/>
    <n v="1"/>
    <n v="1"/>
    <n v="2"/>
    <n v="4"/>
    <x v="1"/>
    <x v="0"/>
  </r>
  <r>
    <x v="35"/>
    <n v="39"/>
    <s v="Female"/>
    <x v="2"/>
    <n v="84069"/>
    <s v="Student"/>
    <n v="4"/>
    <n v="2667"/>
    <n v="10668"/>
    <x v="0"/>
    <x v="0"/>
    <s v="New"/>
    <s v="Medium"/>
    <s v="High"/>
    <x v="30"/>
    <n v="2"/>
    <n v="2"/>
    <n v="2"/>
    <n v="6"/>
    <x v="0"/>
    <x v="1"/>
  </r>
  <r>
    <x v="36"/>
    <n v="36"/>
    <s v="Female"/>
    <x v="1"/>
    <n v="34359"/>
    <s v="IT"/>
    <n v="7"/>
    <n v="2265"/>
    <n v="15855"/>
    <x v="2"/>
    <x v="1"/>
    <s v="New"/>
    <s v="Low"/>
    <s v="Low"/>
    <x v="7"/>
    <n v="2"/>
    <n v="2"/>
    <n v="1"/>
    <n v="5"/>
    <x v="0"/>
    <x v="0"/>
  </r>
  <r>
    <x v="37"/>
    <n v="25"/>
    <s v="Female"/>
    <x v="5"/>
    <n v="43832"/>
    <s v="Manager"/>
    <n v="8"/>
    <n v="4092"/>
    <n v="32736"/>
    <x v="1"/>
    <x v="0"/>
    <s v="Returning"/>
    <s v="High"/>
    <s v="Medium"/>
    <x v="31"/>
    <n v="3"/>
    <n v="3"/>
    <n v="3"/>
    <n v="9"/>
    <x v="2"/>
    <x v="0"/>
  </r>
  <r>
    <x v="38"/>
    <n v="29"/>
    <s v="Male"/>
    <x v="2"/>
    <n v="82700"/>
    <s v="Student"/>
    <n v="3"/>
    <n v="3902"/>
    <n v="11706"/>
    <x v="3"/>
    <x v="1"/>
    <s v="Returning"/>
    <s v="Low"/>
    <s v="Low"/>
    <x v="32"/>
    <n v="2"/>
    <n v="1"/>
    <n v="1"/>
    <n v="4"/>
    <x v="1"/>
    <x v="0"/>
  </r>
  <r>
    <x v="39"/>
    <n v="31"/>
    <s v="Male"/>
    <x v="5"/>
    <n v="91135"/>
    <s v="IT"/>
    <n v="11"/>
    <n v="2032"/>
    <n v="22352"/>
    <x v="2"/>
    <x v="1"/>
    <s v="Returning"/>
    <s v="Medium"/>
    <s v="Low"/>
    <x v="7"/>
    <n v="2"/>
    <n v="3"/>
    <n v="2"/>
    <n v="7"/>
    <x v="0"/>
    <x v="0"/>
  </r>
  <r>
    <x v="40"/>
    <n v="23"/>
    <s v="Female"/>
    <x v="3"/>
    <n v="50960"/>
    <s v="Engineer"/>
    <n v="8"/>
    <n v="3294"/>
    <n v="26352"/>
    <x v="3"/>
    <x v="0"/>
    <s v="Returning"/>
    <s v="Medium"/>
    <s v="Medium"/>
    <x v="20"/>
    <n v="3"/>
    <n v="3"/>
    <n v="2"/>
    <n v="8"/>
    <x v="2"/>
    <x v="1"/>
  </r>
  <r>
    <x v="41"/>
    <n v="47"/>
    <s v="Female"/>
    <x v="0"/>
    <n v="53490"/>
    <s v="Engineer"/>
    <n v="10"/>
    <n v="700"/>
    <n v="7000"/>
    <x v="2"/>
    <x v="1"/>
    <s v="New"/>
    <s v="Medium"/>
    <s v="Low"/>
    <x v="33"/>
    <n v="1"/>
    <n v="3"/>
    <n v="2"/>
    <n v="6"/>
    <x v="0"/>
    <x v="0"/>
  </r>
  <r>
    <x v="42"/>
    <n v="34"/>
    <s v="Male"/>
    <x v="3"/>
    <n v="74058"/>
    <s v="Engineer"/>
    <n v="4"/>
    <n v="1806"/>
    <n v="7224"/>
    <x v="1"/>
    <x v="1"/>
    <s v="Returning"/>
    <s v="High"/>
    <s v="Low"/>
    <x v="34"/>
    <n v="1"/>
    <n v="2"/>
    <n v="3"/>
    <n v="6"/>
    <x v="0"/>
    <x v="1"/>
  </r>
  <r>
    <x v="43"/>
    <n v="27"/>
    <s v="Female"/>
    <x v="1"/>
    <n v="39001"/>
    <s v="IT"/>
    <n v="2"/>
    <n v="3517"/>
    <n v="7034"/>
    <x v="2"/>
    <x v="0"/>
    <s v="Returning"/>
    <s v="High"/>
    <s v="Low"/>
    <x v="35"/>
    <n v="1"/>
    <n v="1"/>
    <n v="3"/>
    <n v="5"/>
    <x v="0"/>
    <x v="1"/>
  </r>
  <r>
    <x v="44"/>
    <n v="36"/>
    <s v="Male"/>
    <x v="5"/>
    <n v="59073"/>
    <s v="IT"/>
    <n v="8"/>
    <n v="3765"/>
    <n v="30120"/>
    <x v="1"/>
    <x v="1"/>
    <s v="New"/>
    <s v="Low"/>
    <s v="Low"/>
    <x v="36"/>
    <n v="3"/>
    <n v="3"/>
    <n v="1"/>
    <n v="7"/>
    <x v="0"/>
    <x v="0"/>
  </r>
  <r>
    <x v="45"/>
    <n v="31"/>
    <s v="Female"/>
    <x v="5"/>
    <n v="25595"/>
    <s v="Teacher"/>
    <n v="1"/>
    <n v="2561"/>
    <n v="2561"/>
    <x v="0"/>
    <x v="0"/>
    <s v="Returning"/>
    <s v="High"/>
    <s v="High"/>
    <x v="37"/>
    <n v="1"/>
    <n v="1"/>
    <n v="3"/>
    <n v="5"/>
    <x v="0"/>
    <x v="1"/>
  </r>
  <r>
    <x v="46"/>
    <n v="49"/>
    <s v="Female"/>
    <x v="0"/>
    <n v="28162"/>
    <s v="Engineer"/>
    <n v="9"/>
    <n v="3001"/>
    <n v="27009"/>
    <x v="1"/>
    <x v="1"/>
    <s v="Returning"/>
    <s v="Low"/>
    <s v="Low"/>
    <x v="38"/>
    <n v="3"/>
    <n v="3"/>
    <n v="1"/>
    <n v="7"/>
    <x v="0"/>
    <x v="1"/>
  </r>
  <r>
    <x v="47"/>
    <n v="28"/>
    <s v="Female"/>
    <x v="3"/>
    <n v="78071"/>
    <s v="Student"/>
    <n v="4"/>
    <n v="3269"/>
    <n v="13076"/>
    <x v="1"/>
    <x v="1"/>
    <s v="New"/>
    <s v="Low"/>
    <s v="Medium"/>
    <x v="39"/>
    <n v="2"/>
    <n v="2"/>
    <n v="1"/>
    <n v="5"/>
    <x v="0"/>
    <x v="1"/>
  </r>
  <r>
    <x v="48"/>
    <n v="32"/>
    <s v="Female"/>
    <x v="4"/>
    <n v="95570"/>
    <s v="Teacher"/>
    <n v="3"/>
    <n v="598"/>
    <n v="1794"/>
    <x v="0"/>
    <x v="0"/>
    <s v="New"/>
    <s v="High"/>
    <s v="High"/>
    <x v="40"/>
    <n v="1"/>
    <n v="1"/>
    <n v="3"/>
    <n v="5"/>
    <x v="0"/>
    <x v="1"/>
  </r>
  <r>
    <x v="49"/>
    <n v="30"/>
    <s v="Female"/>
    <x v="4"/>
    <n v="65952"/>
    <s v="Teacher"/>
    <n v="12"/>
    <n v="4948"/>
    <n v="59376"/>
    <x v="3"/>
    <x v="1"/>
    <s v="Returning"/>
    <s v="Low"/>
    <s v="Medium"/>
    <x v="41"/>
    <n v="3"/>
    <n v="3"/>
    <n v="1"/>
    <n v="7"/>
    <x v="0"/>
    <x v="0"/>
  </r>
  <r>
    <x v="50"/>
    <n v="55"/>
    <s v="Male"/>
    <x v="1"/>
    <n v="36189"/>
    <s v="IT"/>
    <n v="11"/>
    <n v="4169"/>
    <n v="45859"/>
    <x v="1"/>
    <x v="0"/>
    <s v="Returning"/>
    <s v="Low"/>
    <s v="Low"/>
    <x v="1"/>
    <n v="3"/>
    <n v="3"/>
    <n v="1"/>
    <n v="7"/>
    <x v="0"/>
    <x v="0"/>
  </r>
  <r>
    <x v="51"/>
    <n v="34"/>
    <s v="Female"/>
    <x v="1"/>
    <n v="82839"/>
    <s v="IT"/>
    <n v="11"/>
    <n v="3747"/>
    <n v="41217"/>
    <x v="1"/>
    <x v="0"/>
    <s v="Returning"/>
    <s v="Medium"/>
    <s v="Medium"/>
    <x v="42"/>
    <n v="3"/>
    <n v="3"/>
    <n v="2"/>
    <n v="8"/>
    <x v="2"/>
    <x v="0"/>
  </r>
  <r>
    <x v="52"/>
    <n v="42"/>
    <s v="Male"/>
    <x v="4"/>
    <n v="79260"/>
    <s v="Manager"/>
    <n v="9"/>
    <n v="3471"/>
    <n v="31239"/>
    <x v="2"/>
    <x v="1"/>
    <s v="New"/>
    <s v="Medium"/>
    <s v="High"/>
    <x v="11"/>
    <n v="3"/>
    <n v="3"/>
    <n v="2"/>
    <n v="8"/>
    <x v="2"/>
    <x v="1"/>
  </r>
  <r>
    <x v="53"/>
    <n v="42"/>
    <s v="Female"/>
    <x v="0"/>
    <n v="98742"/>
    <s v="Teacher"/>
    <n v="1"/>
    <n v="3444"/>
    <n v="3444"/>
    <x v="0"/>
    <x v="0"/>
    <s v="Returning"/>
    <s v="High"/>
    <s v="High"/>
    <x v="43"/>
    <n v="1"/>
    <n v="1"/>
    <n v="3"/>
    <n v="5"/>
    <x v="0"/>
    <x v="1"/>
  </r>
  <r>
    <x v="54"/>
    <n v="57"/>
    <s v="Male"/>
    <x v="3"/>
    <n v="37457"/>
    <s v="Engineer"/>
    <n v="8"/>
    <n v="3842"/>
    <n v="30736"/>
    <x v="3"/>
    <x v="0"/>
    <s v="Returning"/>
    <s v="Medium"/>
    <s v="Low"/>
    <x v="44"/>
    <n v="3"/>
    <n v="3"/>
    <n v="2"/>
    <n v="8"/>
    <x v="2"/>
    <x v="1"/>
  </r>
  <r>
    <x v="55"/>
    <n v="49"/>
    <s v="Female"/>
    <x v="2"/>
    <n v="84156"/>
    <s v="Manager"/>
    <n v="10"/>
    <n v="1175"/>
    <n v="11750"/>
    <x v="0"/>
    <x v="1"/>
    <s v="Returning"/>
    <s v="Low"/>
    <s v="Medium"/>
    <x v="45"/>
    <n v="2"/>
    <n v="3"/>
    <n v="1"/>
    <n v="6"/>
    <x v="0"/>
    <x v="1"/>
  </r>
  <r>
    <x v="56"/>
    <n v="47"/>
    <s v="Male"/>
    <x v="2"/>
    <n v="57872"/>
    <s v="IT"/>
    <n v="2"/>
    <n v="3620"/>
    <n v="7240"/>
    <x v="1"/>
    <x v="0"/>
    <s v="New"/>
    <s v="High"/>
    <s v="Medium"/>
    <x v="46"/>
    <n v="1"/>
    <n v="1"/>
    <n v="3"/>
    <n v="5"/>
    <x v="0"/>
    <x v="0"/>
  </r>
  <r>
    <x v="57"/>
    <n v="23"/>
    <s v="Male"/>
    <x v="2"/>
    <n v="76947"/>
    <s v="Teacher"/>
    <n v="3"/>
    <n v="4166"/>
    <n v="12498"/>
    <x v="1"/>
    <x v="1"/>
    <s v="Returning"/>
    <s v="Medium"/>
    <s v="Medium"/>
    <x v="7"/>
    <n v="2"/>
    <n v="1"/>
    <n v="2"/>
    <n v="5"/>
    <x v="0"/>
    <x v="0"/>
  </r>
  <r>
    <x v="58"/>
    <n v="39"/>
    <s v="Female"/>
    <x v="2"/>
    <n v="27869"/>
    <s v="Teacher"/>
    <n v="9"/>
    <n v="1041"/>
    <n v="9369"/>
    <x v="2"/>
    <x v="1"/>
    <s v="Returning"/>
    <s v="High"/>
    <s v="High"/>
    <x v="47"/>
    <n v="1"/>
    <n v="3"/>
    <n v="3"/>
    <n v="7"/>
    <x v="0"/>
    <x v="0"/>
  </r>
  <r>
    <x v="59"/>
    <n v="57"/>
    <s v="Male"/>
    <x v="3"/>
    <n v="63515"/>
    <s v="Engineer"/>
    <n v="5"/>
    <n v="4400"/>
    <n v="22000"/>
    <x v="3"/>
    <x v="1"/>
    <s v="New"/>
    <s v="Medium"/>
    <s v="Low"/>
    <x v="48"/>
    <n v="2"/>
    <n v="2"/>
    <n v="2"/>
    <n v="6"/>
    <x v="0"/>
    <x v="1"/>
  </r>
  <r>
    <x v="60"/>
    <n v="51"/>
    <s v="Male"/>
    <x v="5"/>
    <n v="58023"/>
    <s v="IT"/>
    <n v="1"/>
    <n v="3322"/>
    <n v="3322"/>
    <x v="2"/>
    <x v="1"/>
    <s v="New"/>
    <s v="High"/>
    <s v="Low"/>
    <x v="1"/>
    <n v="1"/>
    <n v="1"/>
    <n v="3"/>
    <n v="5"/>
    <x v="0"/>
    <x v="0"/>
  </r>
  <r>
    <x v="61"/>
    <n v="39"/>
    <s v="Female"/>
    <x v="2"/>
    <n v="92549"/>
    <s v="Teacher"/>
    <n v="9"/>
    <n v="2436"/>
    <n v="21924"/>
    <x v="3"/>
    <x v="1"/>
    <s v="Returning"/>
    <s v="High"/>
    <s v="Low"/>
    <x v="49"/>
    <n v="2"/>
    <n v="3"/>
    <n v="3"/>
    <n v="8"/>
    <x v="2"/>
    <x v="1"/>
  </r>
  <r>
    <x v="62"/>
    <n v="50"/>
    <s v="Female"/>
    <x v="2"/>
    <n v="92035"/>
    <s v="Student"/>
    <n v="9"/>
    <n v="2350"/>
    <n v="21150"/>
    <x v="0"/>
    <x v="0"/>
    <s v="New"/>
    <s v="High"/>
    <s v="Medium"/>
    <x v="50"/>
    <n v="2"/>
    <n v="3"/>
    <n v="3"/>
    <n v="8"/>
    <x v="2"/>
    <x v="0"/>
  </r>
  <r>
    <x v="63"/>
    <n v="51"/>
    <s v="Male"/>
    <x v="2"/>
    <n v="53370"/>
    <s v="Manager"/>
    <n v="10"/>
    <n v="4029"/>
    <n v="40290"/>
    <x v="2"/>
    <x v="1"/>
    <s v="Returning"/>
    <s v="Low"/>
    <s v="High"/>
    <x v="42"/>
    <n v="3"/>
    <n v="3"/>
    <n v="1"/>
    <n v="7"/>
    <x v="0"/>
    <x v="0"/>
  </r>
  <r>
    <x v="64"/>
    <n v="32"/>
    <s v="Male"/>
    <x v="1"/>
    <n v="50257"/>
    <s v="Engineer"/>
    <n v="1"/>
    <n v="4005"/>
    <n v="4005"/>
    <x v="1"/>
    <x v="0"/>
    <s v="Returning"/>
    <s v="Low"/>
    <s v="High"/>
    <x v="10"/>
    <n v="1"/>
    <n v="1"/>
    <n v="1"/>
    <n v="3"/>
    <x v="1"/>
    <x v="1"/>
  </r>
  <r>
    <x v="65"/>
    <n v="38"/>
    <s v="Male"/>
    <x v="1"/>
    <n v="29041"/>
    <s v="IT"/>
    <n v="7"/>
    <n v="4544"/>
    <n v="31808"/>
    <x v="0"/>
    <x v="0"/>
    <s v="Returning"/>
    <s v="High"/>
    <s v="Low"/>
    <x v="12"/>
    <n v="3"/>
    <n v="2"/>
    <n v="3"/>
    <n v="8"/>
    <x v="2"/>
    <x v="0"/>
  </r>
  <r>
    <x v="66"/>
    <n v="33"/>
    <s v="Female"/>
    <x v="3"/>
    <n v="36981"/>
    <s v="Student"/>
    <n v="4"/>
    <n v="1463"/>
    <n v="5852"/>
    <x v="2"/>
    <x v="0"/>
    <s v="Returning"/>
    <s v="Low"/>
    <s v="High"/>
    <x v="20"/>
    <n v="1"/>
    <n v="2"/>
    <n v="1"/>
    <n v="4"/>
    <x v="1"/>
    <x v="1"/>
  </r>
  <r>
    <x v="67"/>
    <n v="28"/>
    <s v="Male"/>
    <x v="0"/>
    <n v="69372"/>
    <s v="Teacher"/>
    <n v="8"/>
    <n v="2856"/>
    <n v="22848"/>
    <x v="0"/>
    <x v="0"/>
    <s v="New"/>
    <s v="Low"/>
    <s v="High"/>
    <x v="26"/>
    <n v="2"/>
    <n v="3"/>
    <n v="1"/>
    <n v="6"/>
    <x v="0"/>
    <x v="1"/>
  </r>
  <r>
    <x v="68"/>
    <n v="30"/>
    <s v="Female"/>
    <x v="5"/>
    <n v="82273"/>
    <s v="Engineer"/>
    <n v="10"/>
    <n v="3124"/>
    <n v="31240"/>
    <x v="1"/>
    <x v="0"/>
    <s v="New"/>
    <s v="Medium"/>
    <s v="Low"/>
    <x v="23"/>
    <n v="3"/>
    <n v="3"/>
    <n v="2"/>
    <n v="8"/>
    <x v="2"/>
    <x v="1"/>
  </r>
  <r>
    <x v="69"/>
    <n v="36"/>
    <s v="Male"/>
    <x v="4"/>
    <n v="40832"/>
    <s v="Engineer"/>
    <n v="12"/>
    <n v="3378"/>
    <n v="40536"/>
    <x v="1"/>
    <x v="1"/>
    <s v="New"/>
    <s v="Medium"/>
    <s v="High"/>
    <x v="47"/>
    <n v="3"/>
    <n v="3"/>
    <n v="2"/>
    <n v="8"/>
    <x v="2"/>
    <x v="0"/>
  </r>
  <r>
    <x v="70"/>
    <n v="58"/>
    <s v="Female"/>
    <x v="3"/>
    <n v="42893"/>
    <s v="Student"/>
    <n v="2"/>
    <n v="2380"/>
    <n v="4760"/>
    <x v="3"/>
    <x v="0"/>
    <s v="Returning"/>
    <s v="Medium"/>
    <s v="Low"/>
    <x v="28"/>
    <n v="1"/>
    <n v="1"/>
    <n v="2"/>
    <n v="4"/>
    <x v="1"/>
    <x v="1"/>
  </r>
  <r>
    <x v="71"/>
    <n v="34"/>
    <s v="Female"/>
    <x v="0"/>
    <n v="28526"/>
    <s v="Teacher"/>
    <n v="2"/>
    <n v="2054"/>
    <n v="4108"/>
    <x v="2"/>
    <x v="0"/>
    <s v="New"/>
    <s v="High"/>
    <s v="Low"/>
    <x v="51"/>
    <n v="1"/>
    <n v="1"/>
    <n v="3"/>
    <n v="5"/>
    <x v="0"/>
    <x v="0"/>
  </r>
  <r>
    <x v="72"/>
    <n v="38"/>
    <s v="Female"/>
    <x v="4"/>
    <n v="84687"/>
    <s v="Student"/>
    <n v="12"/>
    <n v="4075"/>
    <n v="48900"/>
    <x v="0"/>
    <x v="1"/>
    <s v="New"/>
    <s v="Medium"/>
    <s v="High"/>
    <x v="52"/>
    <n v="3"/>
    <n v="3"/>
    <n v="2"/>
    <n v="8"/>
    <x v="2"/>
    <x v="1"/>
  </r>
  <r>
    <x v="73"/>
    <n v="37"/>
    <s v="Female"/>
    <x v="0"/>
    <n v="44646"/>
    <s v="Student"/>
    <n v="12"/>
    <n v="2321"/>
    <n v="27852"/>
    <x v="3"/>
    <x v="0"/>
    <s v="Returning"/>
    <s v="High"/>
    <s v="High"/>
    <x v="53"/>
    <n v="3"/>
    <n v="3"/>
    <n v="3"/>
    <n v="9"/>
    <x v="2"/>
    <x v="1"/>
  </r>
  <r>
    <x v="74"/>
    <n v="42"/>
    <s v="Male"/>
    <x v="2"/>
    <n v="84925"/>
    <s v="Teacher"/>
    <n v="9"/>
    <n v="941"/>
    <n v="8469"/>
    <x v="3"/>
    <x v="0"/>
    <s v="Returning"/>
    <s v="Low"/>
    <s v="High"/>
    <x v="37"/>
    <n v="1"/>
    <n v="3"/>
    <n v="1"/>
    <n v="5"/>
    <x v="0"/>
    <x v="1"/>
  </r>
  <r>
    <x v="75"/>
    <n v="55"/>
    <s v="Female"/>
    <x v="2"/>
    <n v="36675"/>
    <s v="Student"/>
    <n v="1"/>
    <n v="2705"/>
    <n v="2705"/>
    <x v="0"/>
    <x v="0"/>
    <s v="Returning"/>
    <s v="High"/>
    <s v="Low"/>
    <x v="8"/>
    <n v="1"/>
    <n v="1"/>
    <n v="3"/>
    <n v="5"/>
    <x v="0"/>
    <x v="1"/>
  </r>
  <r>
    <x v="76"/>
    <n v="36"/>
    <s v="Female"/>
    <x v="0"/>
    <n v="59800"/>
    <s v="Student"/>
    <n v="3"/>
    <n v="1287"/>
    <n v="3861"/>
    <x v="3"/>
    <x v="1"/>
    <s v="New"/>
    <s v="Medium"/>
    <s v="High"/>
    <x v="52"/>
    <n v="1"/>
    <n v="1"/>
    <n v="2"/>
    <n v="4"/>
    <x v="1"/>
    <x v="1"/>
  </r>
  <r>
    <x v="77"/>
    <n v="29"/>
    <s v="Male"/>
    <x v="3"/>
    <n v="35331"/>
    <s v="Teacher"/>
    <n v="4"/>
    <n v="2805"/>
    <n v="11220"/>
    <x v="0"/>
    <x v="1"/>
    <s v="Returning"/>
    <s v="Medium"/>
    <s v="High"/>
    <x v="54"/>
    <n v="2"/>
    <n v="2"/>
    <n v="2"/>
    <n v="6"/>
    <x v="0"/>
    <x v="1"/>
  </r>
  <r>
    <x v="78"/>
    <n v="33"/>
    <s v="Male"/>
    <x v="4"/>
    <n v="88305"/>
    <s v="Student"/>
    <n v="4"/>
    <n v="981"/>
    <n v="3924"/>
    <x v="0"/>
    <x v="0"/>
    <s v="Returning"/>
    <s v="Low"/>
    <s v="Low"/>
    <x v="31"/>
    <n v="1"/>
    <n v="2"/>
    <n v="1"/>
    <n v="4"/>
    <x v="1"/>
    <x v="0"/>
  </r>
  <r>
    <x v="79"/>
    <n v="54"/>
    <s v="Female"/>
    <x v="0"/>
    <n v="36873"/>
    <s v="Engineer"/>
    <n v="2"/>
    <n v="2126"/>
    <n v="4252"/>
    <x v="2"/>
    <x v="1"/>
    <s v="New"/>
    <s v="High"/>
    <s v="Medium"/>
    <x v="55"/>
    <n v="1"/>
    <n v="1"/>
    <n v="3"/>
    <n v="5"/>
    <x v="0"/>
    <x v="0"/>
  </r>
  <r>
    <x v="80"/>
    <n v="26"/>
    <s v="Male"/>
    <x v="4"/>
    <n v="39494"/>
    <s v="Student"/>
    <n v="6"/>
    <n v="3046"/>
    <n v="18276"/>
    <x v="2"/>
    <x v="1"/>
    <s v="Returning"/>
    <s v="Medium"/>
    <s v="Low"/>
    <x v="56"/>
    <n v="2"/>
    <n v="2"/>
    <n v="2"/>
    <n v="6"/>
    <x v="0"/>
    <x v="0"/>
  </r>
  <r>
    <x v="81"/>
    <n v="41"/>
    <s v="Male"/>
    <x v="1"/>
    <n v="54554"/>
    <s v="Manager"/>
    <n v="2"/>
    <n v="4328"/>
    <n v="8656"/>
    <x v="0"/>
    <x v="1"/>
    <s v="Returning"/>
    <s v="High"/>
    <s v="High"/>
    <x v="57"/>
    <n v="1"/>
    <n v="1"/>
    <n v="3"/>
    <n v="5"/>
    <x v="0"/>
    <x v="1"/>
  </r>
  <r>
    <x v="82"/>
    <n v="34"/>
    <s v="Male"/>
    <x v="2"/>
    <n v="85019"/>
    <s v="Engineer"/>
    <n v="11"/>
    <n v="4643"/>
    <n v="51073"/>
    <x v="1"/>
    <x v="1"/>
    <s v="New"/>
    <s v="Medium"/>
    <s v="Low"/>
    <x v="12"/>
    <n v="3"/>
    <n v="3"/>
    <n v="2"/>
    <n v="8"/>
    <x v="2"/>
    <x v="0"/>
  </r>
  <r>
    <x v="83"/>
    <n v="38"/>
    <s v="Male"/>
    <x v="3"/>
    <n v="47328"/>
    <s v="Manager"/>
    <n v="9"/>
    <n v="4194"/>
    <n v="37746"/>
    <x v="1"/>
    <x v="0"/>
    <s v="New"/>
    <s v="Low"/>
    <s v="High"/>
    <x v="58"/>
    <n v="3"/>
    <n v="3"/>
    <n v="1"/>
    <n v="7"/>
    <x v="0"/>
    <x v="1"/>
  </r>
  <r>
    <x v="84"/>
    <n v="44"/>
    <s v="Female"/>
    <x v="1"/>
    <n v="70223"/>
    <s v="Teacher"/>
    <n v="10"/>
    <n v="3845"/>
    <n v="38450"/>
    <x v="2"/>
    <x v="1"/>
    <s v="New"/>
    <s v="Low"/>
    <s v="Low"/>
    <x v="10"/>
    <n v="3"/>
    <n v="3"/>
    <n v="1"/>
    <n v="7"/>
    <x v="0"/>
    <x v="1"/>
  </r>
  <r>
    <x v="85"/>
    <n v="59"/>
    <s v="Female"/>
    <x v="1"/>
    <n v="33996"/>
    <s v="Student"/>
    <n v="10"/>
    <n v="4777"/>
    <n v="47770"/>
    <x v="3"/>
    <x v="1"/>
    <s v="Returning"/>
    <s v="High"/>
    <s v="Low"/>
    <x v="1"/>
    <n v="3"/>
    <n v="3"/>
    <n v="3"/>
    <n v="9"/>
    <x v="2"/>
    <x v="0"/>
  </r>
  <r>
    <x v="86"/>
    <n v="40"/>
    <s v="Male"/>
    <x v="5"/>
    <n v="56960"/>
    <s v="IT"/>
    <n v="8"/>
    <n v="1652"/>
    <n v="13216"/>
    <x v="1"/>
    <x v="0"/>
    <s v="New"/>
    <s v="High"/>
    <s v="Medium"/>
    <x v="21"/>
    <n v="2"/>
    <n v="3"/>
    <n v="3"/>
    <n v="8"/>
    <x v="2"/>
    <x v="1"/>
  </r>
  <r>
    <x v="87"/>
    <n v="57"/>
    <s v="Female"/>
    <x v="0"/>
    <n v="33387"/>
    <s v="Student"/>
    <n v="4"/>
    <n v="3492"/>
    <n v="13968"/>
    <x v="2"/>
    <x v="1"/>
    <s v="Returning"/>
    <s v="Medium"/>
    <s v="Low"/>
    <x v="48"/>
    <n v="2"/>
    <n v="2"/>
    <n v="2"/>
    <n v="6"/>
    <x v="0"/>
    <x v="1"/>
  </r>
  <r>
    <x v="88"/>
    <n v="25"/>
    <s v="Female"/>
    <x v="3"/>
    <n v="62134"/>
    <s v="Teacher"/>
    <n v="4"/>
    <n v="4278"/>
    <n v="17112"/>
    <x v="2"/>
    <x v="0"/>
    <s v="Returning"/>
    <s v="Low"/>
    <s v="Medium"/>
    <x v="39"/>
    <n v="2"/>
    <n v="2"/>
    <n v="1"/>
    <n v="5"/>
    <x v="0"/>
    <x v="1"/>
  </r>
  <r>
    <x v="89"/>
    <n v="60"/>
    <s v="Female"/>
    <x v="5"/>
    <n v="35898"/>
    <s v="Manager"/>
    <n v="1"/>
    <n v="2475"/>
    <n v="2475"/>
    <x v="2"/>
    <x v="1"/>
    <s v="New"/>
    <s v="High"/>
    <s v="High"/>
    <x v="46"/>
    <n v="1"/>
    <n v="1"/>
    <n v="3"/>
    <n v="5"/>
    <x v="0"/>
    <x v="0"/>
  </r>
  <r>
    <x v="90"/>
    <n v="23"/>
    <s v="Male"/>
    <x v="3"/>
    <n v="63182"/>
    <s v="Teacher"/>
    <n v="1"/>
    <n v="3429"/>
    <n v="3429"/>
    <x v="0"/>
    <x v="1"/>
    <s v="New"/>
    <s v="High"/>
    <s v="High"/>
    <x v="4"/>
    <n v="1"/>
    <n v="1"/>
    <n v="3"/>
    <n v="5"/>
    <x v="0"/>
    <x v="0"/>
  </r>
  <r>
    <x v="91"/>
    <n v="33"/>
    <s v="Male"/>
    <x v="1"/>
    <n v="46813"/>
    <s v="Student"/>
    <n v="6"/>
    <n v="3547"/>
    <n v="21282"/>
    <x v="1"/>
    <x v="0"/>
    <s v="Returning"/>
    <s v="Low"/>
    <s v="Low"/>
    <x v="59"/>
    <n v="2"/>
    <n v="2"/>
    <n v="1"/>
    <n v="5"/>
    <x v="0"/>
    <x v="1"/>
  </r>
  <r>
    <x v="92"/>
    <n v="41"/>
    <s v="Male"/>
    <x v="5"/>
    <n v="80551"/>
    <s v="Manager"/>
    <n v="12"/>
    <n v="3167"/>
    <n v="38004"/>
    <x v="2"/>
    <x v="1"/>
    <s v="Returning"/>
    <s v="Medium"/>
    <s v="Medium"/>
    <x v="26"/>
    <n v="3"/>
    <n v="3"/>
    <n v="2"/>
    <n v="8"/>
    <x v="2"/>
    <x v="1"/>
  </r>
  <r>
    <x v="93"/>
    <n v="35"/>
    <s v="Male"/>
    <x v="2"/>
    <n v="35300"/>
    <s v="IT"/>
    <n v="3"/>
    <n v="3583"/>
    <n v="10749"/>
    <x v="3"/>
    <x v="0"/>
    <s v="Returning"/>
    <s v="High"/>
    <s v="Low"/>
    <x v="15"/>
    <n v="2"/>
    <n v="1"/>
    <n v="3"/>
    <n v="6"/>
    <x v="0"/>
    <x v="0"/>
  </r>
  <r>
    <x v="94"/>
    <n v="26"/>
    <s v="Male"/>
    <x v="4"/>
    <n v="34074"/>
    <s v="Student"/>
    <n v="2"/>
    <n v="2791"/>
    <n v="5582"/>
    <x v="3"/>
    <x v="0"/>
    <s v="Returning"/>
    <s v="Medium"/>
    <s v="Low"/>
    <x v="60"/>
    <n v="1"/>
    <n v="1"/>
    <n v="2"/>
    <n v="4"/>
    <x v="1"/>
    <x v="1"/>
  </r>
  <r>
    <x v="95"/>
    <n v="45"/>
    <s v="Male"/>
    <x v="4"/>
    <n v="43054"/>
    <s v="Student"/>
    <n v="12"/>
    <n v="4248"/>
    <n v="50976"/>
    <x v="0"/>
    <x v="1"/>
    <s v="Returning"/>
    <s v="High"/>
    <s v="Medium"/>
    <x v="40"/>
    <n v="3"/>
    <n v="3"/>
    <n v="3"/>
    <n v="9"/>
    <x v="2"/>
    <x v="1"/>
  </r>
  <r>
    <x v="96"/>
    <n v="56"/>
    <s v="Male"/>
    <x v="0"/>
    <n v="59182"/>
    <s v="Engineer"/>
    <n v="8"/>
    <n v="1922"/>
    <n v="15376"/>
    <x v="2"/>
    <x v="1"/>
    <s v="Returning"/>
    <s v="Medium"/>
    <s v="Medium"/>
    <x v="51"/>
    <n v="2"/>
    <n v="3"/>
    <n v="2"/>
    <n v="7"/>
    <x v="0"/>
    <x v="0"/>
  </r>
  <r>
    <x v="97"/>
    <n v="37"/>
    <s v="Female"/>
    <x v="0"/>
    <n v="88367"/>
    <s v="Student"/>
    <n v="2"/>
    <n v="1980"/>
    <n v="3960"/>
    <x v="1"/>
    <x v="1"/>
    <s v="Returning"/>
    <s v="Medium"/>
    <s v="Low"/>
    <x v="61"/>
    <n v="1"/>
    <n v="1"/>
    <n v="2"/>
    <n v="4"/>
    <x v="1"/>
    <x v="1"/>
  </r>
  <r>
    <x v="98"/>
    <n v="26"/>
    <s v="Male"/>
    <x v="2"/>
    <n v="27370"/>
    <s v="Teacher"/>
    <n v="4"/>
    <n v="4462"/>
    <n v="17848"/>
    <x v="2"/>
    <x v="0"/>
    <s v="Returning"/>
    <s v="Low"/>
    <s v="Medium"/>
    <x v="29"/>
    <n v="2"/>
    <n v="2"/>
    <n v="1"/>
    <n v="5"/>
    <x v="0"/>
    <x v="0"/>
  </r>
  <r>
    <x v="99"/>
    <n v="22"/>
    <s v="Male"/>
    <x v="1"/>
    <n v="52941"/>
    <s v="Student"/>
    <n v="3"/>
    <n v="4684"/>
    <n v="14052"/>
    <x v="3"/>
    <x v="0"/>
    <s v="Returning"/>
    <s v="High"/>
    <s v="Low"/>
    <x v="62"/>
    <n v="2"/>
    <n v="1"/>
    <n v="3"/>
    <n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174E8-54AB-46E0-81FB-123934C0C119}" name="PivotTable9" cacheId="9"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3">
  <location ref="G1:H5" firstHeaderRow="1" firstDataRow="1" firstDataCol="1"/>
  <pivotFields count="2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dataField="1" numFmtId="1" showAll="0"/>
    <pivotField showAll="0">
      <items count="5">
        <item x="3"/>
        <item x="0"/>
        <item x="1"/>
        <item x="2"/>
        <item t="default"/>
      </items>
    </pivotField>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showAll="0">
      <items count="4">
        <item x="2"/>
        <item x="1"/>
        <item x="0"/>
        <item t="default"/>
      </items>
    </pivotField>
    <pivotField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2"/>
    <field x="21"/>
  </rowFields>
  <rowItems count="4">
    <i>
      <x v="1"/>
    </i>
    <i>
      <x v="2"/>
    </i>
    <i>
      <x v="3"/>
    </i>
    <i t="grand">
      <x/>
    </i>
  </rowItems>
  <colItems count="1">
    <i/>
  </colItems>
  <dataFields count="1">
    <dataField name="Sum of Total Spending" fld="8" baseField="0" baseItem="0" numFmtId="1"/>
  </dataFields>
  <formats count="1">
    <format dxfId="1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8BD15-432C-4322-8175-4B59E9F96348}"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43:B48" firstHeaderRow="1" firstDataRow="1"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numFmtId="1" showAll="0"/>
    <pivotField axis="axisRow" showAll="0">
      <items count="5">
        <item x="3"/>
        <item x="0"/>
        <item x="1"/>
        <item x="2"/>
        <item t="default"/>
      </items>
    </pivotField>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showAll="0">
      <items count="4">
        <item x="2"/>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Count of Customer ID" fld="0" subtotal="count" baseField="0" baseItem="0" numFmtId="1"/>
  </dataFields>
  <formats count="1">
    <format dxfId="2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84E25-142E-4DFA-9B03-470B9FD20443}" name="PivotTable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7:B40" firstHeaderRow="1" firstDataRow="1" firstDataCol="1"/>
  <pivotFields count="2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dataField="1" numFmtId="1" showAll="0"/>
    <pivotField showAll="0"/>
    <pivotField axis="axisRow"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showAll="0">
      <items count="4">
        <item x="2"/>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Sum of Total Spending" fld="8" baseField="0" baseItem="0" numFmtId="177"/>
  </dataFields>
  <formats count="1">
    <format dxfId="22">
      <pivotArea outline="0" collapsedLevelsAreSubtotals="1" fieldPosition="0"/>
    </format>
  </formats>
  <chartFormats count="3">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0" count="1" selected="0">
            <x v="0"/>
          </reference>
        </references>
      </pivotArea>
    </chartFormat>
    <chartFormat chart="22"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0538C9-FD53-4DE4-A464-05E8322DA3BC}" name="PivotTable6"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7:B34" firstHeaderRow="1" firstDataRow="1"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axis="axisRow" showAll="0">
      <items count="7">
        <item x="1"/>
        <item x="0"/>
        <item x="3"/>
        <item x="4"/>
        <item x="2"/>
        <item x="5"/>
        <item t="default"/>
      </items>
    </pivotField>
    <pivotField numFmtId="1" showAll="0"/>
    <pivotField showAll="0"/>
    <pivotField numFmtId="1" showAll="0"/>
    <pivotField numFmtId="1" showAll="0"/>
    <pivotField numFmtId="1" showAll="0"/>
    <pivotField showAll="0"/>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showAll="0">
      <items count="4">
        <item x="2"/>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Count of Customer ID" fld="0"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4"/>
          </reference>
        </references>
      </pivotArea>
    </chartFormat>
    <chartFormat chart="1" format="2">
      <pivotArea type="data" outline="0" fieldPosition="0">
        <references count="2">
          <reference field="4294967294" count="1" selected="0">
            <x v="0"/>
          </reference>
          <reference field="3" count="1" selected="0">
            <x v="5"/>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1" format="6">
      <pivotArea type="data" outline="0" fieldPosition="0">
        <references count="2">
          <reference field="4294967294" count="1" selected="0">
            <x v="0"/>
          </reference>
          <reference field="3"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 count="1" selected="0">
            <x v="0"/>
          </reference>
        </references>
      </pivotArea>
    </chartFormat>
    <chartFormat chart="4" format="16">
      <pivotArea type="data" outline="0" fieldPosition="0">
        <references count="2">
          <reference field="4294967294" count="1" selected="0">
            <x v="0"/>
          </reference>
          <reference field="3" count="1" selected="0">
            <x v="1"/>
          </reference>
        </references>
      </pivotArea>
    </chartFormat>
    <chartFormat chart="4" format="17">
      <pivotArea type="data" outline="0" fieldPosition="0">
        <references count="2">
          <reference field="4294967294" count="1" selected="0">
            <x v="0"/>
          </reference>
          <reference field="3" count="1" selected="0">
            <x v="2"/>
          </reference>
        </references>
      </pivotArea>
    </chartFormat>
    <chartFormat chart="4" format="18">
      <pivotArea type="data" outline="0" fieldPosition="0">
        <references count="2">
          <reference field="4294967294" count="1" selected="0">
            <x v="0"/>
          </reference>
          <reference field="3" count="1" selected="0">
            <x v="3"/>
          </reference>
        </references>
      </pivotArea>
    </chartFormat>
    <chartFormat chart="4" format="19">
      <pivotArea type="data" outline="0" fieldPosition="0">
        <references count="2">
          <reference field="4294967294" count="1" selected="0">
            <x v="0"/>
          </reference>
          <reference field="3" count="1" selected="0">
            <x v="4"/>
          </reference>
        </references>
      </pivotArea>
    </chartFormat>
    <chartFormat chart="4"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A99452-3247-4F8E-AC87-B0668B519AB9}" name="PivotTable5"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0:D25"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numFmtId="1" showAll="0"/>
    <pivotField showAll="0"/>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axis="axisRow" showAll="0">
      <items count="4">
        <item x="2"/>
        <item x="1"/>
        <item x="0"/>
        <item t="default"/>
      </items>
    </pivotField>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Fields count="1">
    <field x="20"/>
  </colFields>
  <colItems count="3">
    <i>
      <x/>
    </i>
    <i>
      <x v="1"/>
    </i>
    <i t="grand">
      <x/>
    </i>
  </colItems>
  <dataFields count="1">
    <dataField name="Count of Customer ID" fld="0" subtotal="count" baseField="0" baseItem="0"/>
  </dataFields>
  <chartFormats count="8">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8" format="6" series="1">
      <pivotArea type="data" outline="0" fieldPosition="0">
        <references count="2">
          <reference field="4294967294" count="1" selected="0">
            <x v="0"/>
          </reference>
          <reference field="20" count="1" selected="0">
            <x v="0"/>
          </reference>
        </references>
      </pivotArea>
    </chartFormat>
    <chartFormat chart="8" format="7" series="1">
      <pivotArea type="data" outline="0" fieldPosition="0">
        <references count="2">
          <reference field="4294967294" count="1" selected="0">
            <x v="0"/>
          </reference>
          <reference field="20" count="1" selected="0">
            <x v="1"/>
          </reference>
        </references>
      </pivotArea>
    </chartFormat>
    <chartFormat chart="9" format="8" series="1">
      <pivotArea type="data" outline="0" fieldPosition="0">
        <references count="2">
          <reference field="4294967294" count="1" selected="0">
            <x v="0"/>
          </reference>
          <reference field="20" count="1" selected="0">
            <x v="0"/>
          </reference>
        </references>
      </pivotArea>
    </chartFormat>
    <chartFormat chart="9" format="9" series="1">
      <pivotArea type="data" outline="0" fieldPosition="0">
        <references count="2">
          <reference field="4294967294" count="1" selected="0">
            <x v="0"/>
          </reference>
          <reference field="20" count="1" selected="0">
            <x v="1"/>
          </reference>
        </references>
      </pivotArea>
    </chartFormat>
    <chartFormat chart="10" format="8" series="1">
      <pivotArea type="data" outline="0" fieldPosition="0">
        <references count="2">
          <reference field="4294967294" count="1" selected="0">
            <x v="0"/>
          </reference>
          <reference field="20" count="1" selected="0">
            <x v="0"/>
          </reference>
        </references>
      </pivotArea>
    </chartFormat>
    <chartFormat chart="10"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3EECA-3DD6-4805-9164-46726AB70433}"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4:B17" firstHeaderRow="1" firstDataRow="1"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numFmtId="1" showAll="0"/>
    <pivotField showAll="0"/>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showAll="0">
      <items count="4">
        <item x="2"/>
        <item x="1"/>
        <item x="0"/>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3">
    <i>
      <x/>
    </i>
    <i>
      <x v="1"/>
    </i>
    <i t="grand">
      <x/>
    </i>
  </rowItems>
  <colItems count="1">
    <i/>
  </colItems>
  <dataFields count="1">
    <dataField name="Count of Customer ID" fld="0"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0" count="1" selected="0">
            <x v="0"/>
          </reference>
        </references>
      </pivotArea>
    </chartFormat>
    <chartFormat chart="4"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56323-7128-4069-908F-496D8E65F915}"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8:B12" firstHeaderRow="1" firstDataRow="1" firstDataCol="1"/>
  <pivotFields count="23">
    <pivotField showAll="0"/>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dataField="1" numFmtId="1" showAll="0"/>
    <pivotField showAll="0"/>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v="2"/>
    </i>
    <i>
      <x/>
    </i>
    <i>
      <x v="1"/>
    </i>
    <i t="grand">
      <x/>
    </i>
  </rowItems>
  <colItems count="1">
    <i/>
  </colItems>
  <dataFields count="1">
    <dataField name="Sum of Total Spending" fld="8" baseField="0" baseItem="0" numFmtId="177"/>
  </dataFields>
  <formats count="1">
    <format dxfId="2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8264B0-4FC7-461C-BDF6-2BDD994691EF}"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B5" firstHeaderRow="1" firstDataRow="1" firstDataCol="1"/>
  <pivotFields count="23">
    <pivotField dataField="1" showAll="0"/>
    <pivotField numFmtId="1" showAll="0"/>
    <pivotField showAll="0"/>
    <pivotField showAll="0">
      <items count="7">
        <item x="1"/>
        <item x="0"/>
        <item x="3"/>
        <item x="4"/>
        <item x="2"/>
        <item x="5"/>
        <item t="default"/>
      </items>
    </pivotField>
    <pivotField numFmtId="1" showAll="0"/>
    <pivotField showAll="0"/>
    <pivotField numFmtId="1" showAll="0"/>
    <pivotField numFmtId="1" showAll="0"/>
    <pivotField numFmtId="1" showAll="0"/>
    <pivotField showAll="0"/>
    <pivotField showAll="0">
      <items count="3">
        <item x="1"/>
        <item x="0"/>
        <item t="default"/>
      </items>
    </pivotField>
    <pivotField showAll="0"/>
    <pivotField showAll="0"/>
    <pivotField showAll="0"/>
    <pivotField numFmtId="171" showAll="0">
      <items count="64">
        <item x="58"/>
        <item x="40"/>
        <item x="43"/>
        <item x="60"/>
        <item x="28"/>
        <item x="37"/>
        <item x="23"/>
        <item x="39"/>
        <item x="22"/>
        <item x="57"/>
        <item x="45"/>
        <item x="62"/>
        <item x="38"/>
        <item x="34"/>
        <item x="53"/>
        <item x="44"/>
        <item x="49"/>
        <item x="61"/>
        <item x="52"/>
        <item x="48"/>
        <item x="17"/>
        <item x="11"/>
        <item x="5"/>
        <item x="20"/>
        <item x="24"/>
        <item x="27"/>
        <item x="59"/>
        <item x="18"/>
        <item x="21"/>
        <item x="54"/>
        <item x="13"/>
        <item x="35"/>
        <item x="2"/>
        <item x="30"/>
        <item x="26"/>
        <item x="8"/>
        <item x="14"/>
        <item x="10"/>
        <item x="0"/>
        <item x="33"/>
        <item x="32"/>
        <item x="55"/>
        <item x="25"/>
        <item x="9"/>
        <item x="3"/>
        <item x="6"/>
        <item x="47"/>
        <item x="1"/>
        <item x="46"/>
        <item x="56"/>
        <item x="4"/>
        <item x="36"/>
        <item x="7"/>
        <item x="12"/>
        <item x="19"/>
        <item x="15"/>
        <item x="31"/>
        <item x="16"/>
        <item x="50"/>
        <item x="41"/>
        <item x="51"/>
        <item x="42"/>
        <item x="29"/>
        <item t="default"/>
      </items>
    </pivotField>
    <pivotField showAll="0"/>
    <pivotField showAll="0"/>
    <pivotField showAll="0"/>
    <pivotField showAll="0"/>
    <pivotField axis="axisRow" showAll="0">
      <items count="4">
        <item x="2"/>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Items count="1">
    <i/>
  </colItems>
  <dataFields count="1">
    <dataField name="Count of Customer ID" fld="0" subtotal="count" baseField="1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EFD6252-2F7C-41F4-B9CB-436AFF183E57}" sourceName="City">
  <pivotTables>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561498338">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76C80C7-3607-4F4A-9F51-C0F95BEC1B48}" sourceName="Channel">
  <pivotTables>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56149833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B02D14-D8F7-49A6-9F8F-3EF6D126F175}" sourceName="Customer Segment">
  <pivotTables>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56149833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ention_Status" xr10:uid="{9D6C660F-3B57-4364-A45D-44B9964231A1}" sourceName="Retention Status">
  <pivotTables>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5614983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55F21E0-02D5-4297-B48E-5A5370747C53}" cache="Slicer_City" caption="City" rowHeight="247650"/>
  <slicer name="Channel" xr10:uid="{C16E51A4-C7E9-4C52-A01A-F268B5C4145E}" cache="Slicer_Channel" caption="Channel" rowHeight="247650"/>
  <slicer name="Customer Segment" xr10:uid="{82A1755C-AFEB-411F-9F3B-57E16C6EDC34}" cache="Slicer_Customer_Segment" caption="Customer Segment" rowHeight="247650"/>
  <slicer name="Retention Status" xr10:uid="{31C64C02-D9F5-40BC-A682-16C8022DEDEE}" cache="Slicer_Retention_Status" caption="Retention 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637AC6-7865-45E3-8DF9-B05798A836FC}" name="Table1" displayName="Table1" ref="A1:O101" totalsRowShown="0" headerRowDxfId="61" headerRowBorderDxfId="76" tableBorderDxfId="77" totalsRowBorderDxfId="75">
  <tableColumns count="15">
    <tableColumn id="1" xr3:uid="{31655011-A485-4846-B328-D5A5B40F9FBD}" name="Customer ID" dataDxfId="74"/>
    <tableColumn id="2" xr3:uid="{F5DE8A16-FE9B-4D9F-BAD2-6EEE0C90C79D}" name="Age" dataDxfId="73"/>
    <tableColumn id="3" xr3:uid="{9FCD6D99-86B9-493A-AC20-0C17506C5E1C}" name="Gender" dataDxfId="72"/>
    <tableColumn id="4" xr3:uid="{3C9C6F74-AEAD-4C52-B01A-1B366D97C16A}" name="City" dataDxfId="71"/>
    <tableColumn id="5" xr3:uid="{A19FDD62-2A1E-402C-AC5C-8D75349E7329}" name="Income" dataDxfId="70"/>
    <tableColumn id="6" xr3:uid="{437F33C1-A45F-450B-A4A1-691EF9AF7CE5}" name="Occupation" dataDxfId="69"/>
    <tableColumn id="7" xr3:uid="{9C3EA836-18F0-46FA-93BC-4112334289E1}" name="Purchase Frequency" dataDxfId="68"/>
    <tableColumn id="8" xr3:uid="{90C79645-E539-4A21-9202-372FB12F9E5C}" name="Avg Order Value" dataDxfId="67"/>
    <tableColumn id="9" xr3:uid="{ABB6E0EF-8488-49B7-89C9-0200C5461910}" name="Total Spending" dataDxfId="66"/>
    <tableColumn id="10" xr3:uid="{359D8B42-7B97-4A7E-931A-CCC77A70EBA3}" name="Category" dataDxfId="65"/>
    <tableColumn id="11" xr3:uid="{2C8532BC-8723-45B7-A099-E1B2917D47FD}" name="Channel" dataDxfId="64"/>
    <tableColumn id="12" xr3:uid="{28E84855-54D2-44F0-9444-350DAB393A88}" name="Type" dataDxfId="63"/>
    <tableColumn id="13" xr3:uid="{8B653F21-C03D-4219-AA6E-4CA5FBA2ABF6}" name="Engagement" dataDxfId="62"/>
    <tableColumn id="14" xr3:uid="{A583A5C3-D6D2-4A58-B245-48D7474BB0A4}" name="Discount Sensitivity" dataDxfId="60"/>
    <tableColumn id="15" xr3:uid="{B3E94E16-4160-47E7-83E8-32C787D53F0A}" name="Last Purchase" dataDxfId="59"/>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8ED293-78B2-40E7-AECE-944F7F3E1373}" name="Table13" displayName="Table13" ref="A1:O101" totalsRowShown="0" headerRowDxfId="58" headerRowBorderDxfId="56" tableBorderDxfId="57" totalsRowBorderDxfId="55">
  <tableColumns count="15">
    <tableColumn id="1" xr3:uid="{537B3951-09CF-4241-8CB6-45AF8F6298DD}" name="Customer ID" dataDxfId="54"/>
    <tableColumn id="2" xr3:uid="{09592D50-40B5-4BD1-8075-00452C3525EC}" name="Age" dataDxfId="53"/>
    <tableColumn id="3" xr3:uid="{0BF1B117-EE4D-4EE2-A953-1A183C7F1CF7}" name="Gender" dataDxfId="52"/>
    <tableColumn id="4" xr3:uid="{2962FE15-4C45-48BC-98D5-E68F2517A58C}" name="City" dataDxfId="51"/>
    <tableColumn id="5" xr3:uid="{EE972523-24A8-4277-BA06-C17B71F464D3}" name="Income" dataDxfId="50"/>
    <tableColumn id="6" xr3:uid="{1FB02B1A-11DC-4D13-9DEC-551638DEF2D9}" name="Occupation" dataDxfId="49"/>
    <tableColumn id="7" xr3:uid="{296071A6-CE01-403A-B644-3E5959CE27E9}" name="Purchase Frequency" dataDxfId="48"/>
    <tableColumn id="8" xr3:uid="{6E5C6A33-626C-4FC7-B577-678E3ED3510D}" name="Avg Order Value" dataDxfId="47"/>
    <tableColumn id="9" xr3:uid="{88C09CD5-9FFF-44E9-AD1D-005252B4BDB2}" name="Total Spending" dataDxfId="46"/>
    <tableColumn id="10" xr3:uid="{3C2382EB-104B-4E4C-A361-26198B07F95E}" name="Category" dataDxfId="45"/>
    <tableColumn id="11" xr3:uid="{F3C92A53-10B8-4FA6-9E04-99A22A57EFCA}" name="Channel" dataDxfId="44"/>
    <tableColumn id="12" xr3:uid="{19909E82-9CD5-413C-9246-BF1A69EE080E}" name="Type" dataDxfId="43"/>
    <tableColumn id="13" xr3:uid="{21AE1EEF-FB43-4143-AC4B-ECB108AE45F4}" name="Engagement" dataDxfId="42"/>
    <tableColumn id="14" xr3:uid="{EBE9D0B8-0AC1-47E8-A7B1-0174BDAEA37A}" name="Discount Sensitivity" dataDxfId="41"/>
    <tableColumn id="15" xr3:uid="{095E4D22-1DB8-4F18-B41D-6780F28CC791}" name="Last Purchase" dataDxfId="40"/>
  </tableColumns>
  <tableStyleInfo name="TableStyleDark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6F9EE7-8D1F-49B4-A476-76A8239E031F}" name="Table3" displayName="Table3" ref="P1:U101" totalsRowShown="0" headerRowDxfId="32" headerRowBorderDxfId="38" tableBorderDxfId="39" totalsRowBorderDxfId="37">
  <autoFilter ref="P1:U101" xr:uid="{306F9EE7-8D1F-49B4-A476-76A8239E031F}"/>
  <tableColumns count="6">
    <tableColumn id="1" xr3:uid="{FF8D75E7-8E72-4261-A677-C8BD30F6EAF8}" name="Spending Score" dataDxfId="36"/>
    <tableColumn id="2" xr3:uid="{62F5B590-8BD7-467C-835C-5ED5B707046F}" name="Frequency Score" dataDxfId="35"/>
    <tableColumn id="3" xr3:uid="{E4520126-354B-4023-BE7C-9CC604C676FD}" name="Engagement Score" dataDxfId="34"/>
    <tableColumn id="4" xr3:uid="{F6F3F568-0FB2-4A6B-AF6A-5ACE36C0815E}" name="Total Score" dataDxfId="33"/>
    <tableColumn id="5" xr3:uid="{8FA7FCB9-A39A-4FF8-9954-7060576A8F5E}" name="Customer Segment" dataDxfId="31"/>
    <tableColumn id="6" xr3:uid="{D39A0280-BDFD-4717-B598-9E61013E445B}" name="Retention Status" dataDxfId="23">
      <calculatedColumnFormula>IF(DATE(2026,3,31)-O2&lt;=30,"Retained","At Risk")</calculatedColumnFormula>
    </tableColumn>
  </tableColumns>
  <tableStyleInfo name="TableStyleDark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823FD8-3814-4FF1-B18E-4B1541D4EBE5}" name="Table4" displayName="Table4" ref="A1:B11" totalsRowShown="0" headerRowDxfId="25" dataDxfId="24" headerRowBorderDxfId="29" tableBorderDxfId="30" totalsRowBorderDxfId="28">
  <autoFilter ref="A1:B11" xr:uid="{04823FD8-3814-4FF1-B18E-4B1541D4EBE5}"/>
  <tableColumns count="2">
    <tableColumn id="1" xr3:uid="{DE22DA7C-2102-450D-97A3-F870D5675753}" name="KPI Name" dataDxfId="27"/>
    <tableColumn id="2" xr3:uid="{072DD5A7-7463-4979-A151-9B9D56F5AEA6}" name="Value" dataDxfId="26"/>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Purchase" xr10:uid="{35B53F0C-BBD5-49A6-A720-55E458785B46}" sourceName="Last Purchase">
  <pivotTables>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state minimalRefreshVersion="6" lastRefreshVersion="6" pivotCacheId="56149833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Purchase" xr10:uid="{49FD0C53-B85B-4953-8079-C8338CF9626B}" cache="NativeTimeline_Last_Purchase" caption="Last Purchase" level="2" selectionLevel="2" scrollPosition="2026-05-19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B11B-F6DC-400F-9C60-01EF0C52BF03}">
  <dimension ref="A1:O101"/>
  <sheetViews>
    <sheetView topLeftCell="A72" workbookViewId="0">
      <selection sqref="A1:O101"/>
    </sheetView>
  </sheetViews>
  <sheetFormatPr defaultColWidth="16.33203125" defaultRowHeight="14.4" x14ac:dyDescent="0.3"/>
  <cols>
    <col min="1" max="1" width="11.21875" bestFit="1" customWidth="1"/>
    <col min="2" max="2" width="4" bestFit="1" customWidth="1"/>
    <col min="3" max="3" width="7.109375" bestFit="1" customWidth="1"/>
    <col min="4" max="4" width="9.77734375" bestFit="1" customWidth="1"/>
    <col min="5" max="5" width="7.21875" bestFit="1" customWidth="1"/>
    <col min="6" max="6" width="10.6640625" bestFit="1" customWidth="1"/>
    <col min="7" max="7" width="9.6640625" bestFit="1" customWidth="1"/>
    <col min="8" max="8" width="14.109375" bestFit="1" customWidth="1"/>
    <col min="9" max="9" width="13.33203125" bestFit="1" customWidth="1"/>
    <col min="10" max="10" width="10" bestFit="1" customWidth="1"/>
    <col min="11" max="11" width="7.77734375" bestFit="1" customWidth="1"/>
    <col min="12" max="12" width="8.6640625" bestFit="1" customWidth="1"/>
    <col min="13" max="13" width="11.109375" bestFit="1" customWidth="1"/>
    <col min="14" max="14" width="9.77734375" bestFit="1" customWidth="1"/>
    <col min="15" max="15" width="12.44140625" bestFit="1" customWidth="1"/>
  </cols>
  <sheetData>
    <row r="1" spans="1:15"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s="2">
        <v>25</v>
      </c>
      <c r="C2" s="2" t="s">
        <v>16</v>
      </c>
      <c r="D2" s="2" t="s">
        <v>17</v>
      </c>
      <c r="E2" s="2">
        <v>30000</v>
      </c>
      <c r="F2" s="2" t="s">
        <v>18</v>
      </c>
      <c r="G2" s="2">
        <v>5</v>
      </c>
      <c r="H2" s="2">
        <v>1200</v>
      </c>
      <c r="I2" s="2">
        <v>6000</v>
      </c>
      <c r="J2" s="2" t="s">
        <v>19</v>
      </c>
      <c r="K2" s="2" t="s">
        <v>20</v>
      </c>
      <c r="L2" s="2" t="s">
        <v>21</v>
      </c>
      <c r="M2" s="2" t="s">
        <v>22</v>
      </c>
      <c r="N2" s="2" t="s">
        <v>22</v>
      </c>
      <c r="O2" s="4">
        <v>46082</v>
      </c>
    </row>
    <row r="3" spans="1:15" x14ac:dyDescent="0.3">
      <c r="A3" s="2" t="s">
        <v>23</v>
      </c>
      <c r="B3" s="2">
        <v>32</v>
      </c>
      <c r="C3" s="2" t="s">
        <v>24</v>
      </c>
      <c r="D3" s="2" t="s">
        <v>25</v>
      </c>
      <c r="E3" s="2">
        <v>60000</v>
      </c>
      <c r="F3" s="2" t="s">
        <v>26</v>
      </c>
      <c r="G3" s="2">
        <v>8</v>
      </c>
      <c r="H3" s="2">
        <v>2500</v>
      </c>
      <c r="I3" s="2">
        <v>20000</v>
      </c>
      <c r="J3" s="2" t="s">
        <v>27</v>
      </c>
      <c r="K3" s="2" t="s">
        <v>20</v>
      </c>
      <c r="L3" s="2" t="s">
        <v>28</v>
      </c>
      <c r="M3" s="2" t="s">
        <v>29</v>
      </c>
      <c r="N3" s="2" t="s">
        <v>29</v>
      </c>
      <c r="O3" s="4">
        <v>46096</v>
      </c>
    </row>
    <row r="4" spans="1:15" x14ac:dyDescent="0.3">
      <c r="A4" s="2" t="s">
        <v>30</v>
      </c>
      <c r="B4" s="2">
        <v>45</v>
      </c>
      <c r="C4" s="2" t="s">
        <v>16</v>
      </c>
      <c r="D4" s="2" t="s">
        <v>31</v>
      </c>
      <c r="E4" s="2">
        <v>90000</v>
      </c>
      <c r="F4" s="2" t="s">
        <v>32</v>
      </c>
      <c r="G4" s="2">
        <v>3</v>
      </c>
      <c r="H4" s="2">
        <v>5000</v>
      </c>
      <c r="I4" s="2">
        <v>15000</v>
      </c>
      <c r="J4" s="2" t="s">
        <v>33</v>
      </c>
      <c r="K4" s="2" t="s">
        <v>34</v>
      </c>
      <c r="L4" s="2" t="s">
        <v>28</v>
      </c>
      <c r="M4" s="2" t="s">
        <v>35</v>
      </c>
      <c r="N4" s="2" t="s">
        <v>35</v>
      </c>
      <c r="O4" s="4">
        <v>46073</v>
      </c>
    </row>
    <row r="5" spans="1:15" x14ac:dyDescent="0.3">
      <c r="A5" s="2" t="s">
        <v>36</v>
      </c>
      <c r="B5" s="2">
        <v>29</v>
      </c>
      <c r="C5" s="2" t="s">
        <v>24</v>
      </c>
      <c r="D5" s="2" t="s">
        <v>37</v>
      </c>
      <c r="E5" s="2">
        <v>40000</v>
      </c>
      <c r="F5" s="2" t="s">
        <v>38</v>
      </c>
      <c r="G5" s="2">
        <v>6</v>
      </c>
      <c r="H5" s="2">
        <v>1800</v>
      </c>
      <c r="I5" s="2">
        <v>10800</v>
      </c>
      <c r="J5" s="2" t="s">
        <v>39</v>
      </c>
      <c r="K5" s="2" t="s">
        <v>20</v>
      </c>
      <c r="L5" s="2" t="s">
        <v>21</v>
      </c>
      <c r="M5" s="2" t="s">
        <v>22</v>
      </c>
      <c r="N5" s="2" t="s">
        <v>22</v>
      </c>
      <c r="O5" s="4">
        <v>46091</v>
      </c>
    </row>
    <row r="6" spans="1:15" x14ac:dyDescent="0.3">
      <c r="A6" s="2" t="s">
        <v>40</v>
      </c>
      <c r="B6" s="2">
        <v>38</v>
      </c>
      <c r="C6" s="2" t="s">
        <v>16</v>
      </c>
      <c r="D6" s="2" t="s">
        <v>41</v>
      </c>
      <c r="E6" s="2">
        <v>70000</v>
      </c>
      <c r="F6" s="2" t="s">
        <v>42</v>
      </c>
      <c r="G6" s="2">
        <v>10</v>
      </c>
      <c r="H6" s="2">
        <v>3000</v>
      </c>
      <c r="I6" s="2">
        <v>30000</v>
      </c>
      <c r="J6" s="2" t="s">
        <v>19</v>
      </c>
      <c r="K6" s="2" t="s">
        <v>20</v>
      </c>
      <c r="L6" s="2" t="s">
        <v>28</v>
      </c>
      <c r="M6" s="2" t="s">
        <v>22</v>
      </c>
      <c r="N6" s="2" t="s">
        <v>35</v>
      </c>
      <c r="O6" s="4">
        <v>46099</v>
      </c>
    </row>
    <row r="7" spans="1:15" x14ac:dyDescent="0.3">
      <c r="A7" s="2" t="s">
        <v>43</v>
      </c>
      <c r="B7" s="2">
        <v>50</v>
      </c>
      <c r="C7" s="2" t="s">
        <v>24</v>
      </c>
      <c r="D7" s="2" t="s">
        <v>44</v>
      </c>
      <c r="E7" s="2">
        <v>50000</v>
      </c>
      <c r="F7" s="2" t="s">
        <v>45</v>
      </c>
      <c r="G7" s="2">
        <v>2</v>
      </c>
      <c r="H7" s="2">
        <v>4000</v>
      </c>
      <c r="I7" s="2">
        <v>8000</v>
      </c>
      <c r="J7" s="2" t="s">
        <v>33</v>
      </c>
      <c r="K7" s="2" t="s">
        <v>34</v>
      </c>
      <c r="L7" s="2" t="s">
        <v>28</v>
      </c>
      <c r="M7" s="2" t="s">
        <v>35</v>
      </c>
      <c r="N7" s="2" t="s">
        <v>29</v>
      </c>
      <c r="O7" s="4">
        <v>46058</v>
      </c>
    </row>
    <row r="8" spans="1:15" x14ac:dyDescent="0.3">
      <c r="A8" s="2" t="s">
        <v>46</v>
      </c>
      <c r="B8" s="2">
        <v>27</v>
      </c>
      <c r="C8" s="2" t="s">
        <v>16</v>
      </c>
      <c r="D8" s="2" t="s">
        <v>17</v>
      </c>
      <c r="E8" s="2">
        <v>35000</v>
      </c>
      <c r="F8" s="2" t="s">
        <v>18</v>
      </c>
      <c r="G8" s="2">
        <v>7</v>
      </c>
      <c r="H8" s="2">
        <v>1500</v>
      </c>
      <c r="I8" s="2">
        <v>10500</v>
      </c>
      <c r="J8" s="2" t="s">
        <v>27</v>
      </c>
      <c r="K8" s="2" t="s">
        <v>20</v>
      </c>
      <c r="L8" s="2" t="s">
        <v>21</v>
      </c>
      <c r="M8" s="2" t="s">
        <v>29</v>
      </c>
      <c r="N8" s="2" t="s">
        <v>22</v>
      </c>
      <c r="O8" s="4">
        <v>46093</v>
      </c>
    </row>
    <row r="9" spans="1:15" x14ac:dyDescent="0.3">
      <c r="A9" s="2" t="s">
        <v>47</v>
      </c>
      <c r="B9" s="2">
        <v>34</v>
      </c>
      <c r="C9" s="2" t="s">
        <v>24</v>
      </c>
      <c r="D9" s="2" t="s">
        <v>25</v>
      </c>
      <c r="E9" s="2">
        <v>80000</v>
      </c>
      <c r="F9" s="2" t="s">
        <v>26</v>
      </c>
      <c r="G9" s="2">
        <v>9</v>
      </c>
      <c r="H9" s="2">
        <v>2700</v>
      </c>
      <c r="I9" s="2">
        <v>24300</v>
      </c>
      <c r="J9" s="2" t="s">
        <v>19</v>
      </c>
      <c r="K9" s="2" t="s">
        <v>20</v>
      </c>
      <c r="L9" s="2" t="s">
        <v>28</v>
      </c>
      <c r="M9" s="2" t="s">
        <v>22</v>
      </c>
      <c r="N9" s="2" t="s">
        <v>35</v>
      </c>
      <c r="O9" s="4">
        <v>46101</v>
      </c>
    </row>
    <row r="10" spans="1:15" x14ac:dyDescent="0.3">
      <c r="A10" s="2" t="s">
        <v>48</v>
      </c>
      <c r="B10" s="2">
        <v>41</v>
      </c>
      <c r="C10" s="2" t="s">
        <v>16</v>
      </c>
      <c r="D10" s="2" t="s">
        <v>31</v>
      </c>
      <c r="E10" s="2">
        <v>95000</v>
      </c>
      <c r="F10" s="2" t="s">
        <v>32</v>
      </c>
      <c r="G10" s="2">
        <v>4</v>
      </c>
      <c r="H10" s="2">
        <v>4500</v>
      </c>
      <c r="I10" s="2">
        <v>18000</v>
      </c>
      <c r="J10" s="2" t="s">
        <v>33</v>
      </c>
      <c r="K10" s="2" t="s">
        <v>34</v>
      </c>
      <c r="L10" s="2" t="s">
        <v>28</v>
      </c>
      <c r="M10" s="2" t="s">
        <v>29</v>
      </c>
      <c r="N10" s="2" t="s">
        <v>35</v>
      </c>
      <c r="O10" s="4">
        <v>46078</v>
      </c>
    </row>
    <row r="11" spans="1:15" x14ac:dyDescent="0.3">
      <c r="A11" s="2" t="s">
        <v>49</v>
      </c>
      <c r="B11" s="2">
        <v>30</v>
      </c>
      <c r="C11" s="2" t="s">
        <v>24</v>
      </c>
      <c r="D11" s="2" t="s">
        <v>37</v>
      </c>
      <c r="E11" s="2">
        <v>42000</v>
      </c>
      <c r="F11" s="2" t="s">
        <v>38</v>
      </c>
      <c r="G11" s="2">
        <v>6</v>
      </c>
      <c r="H11" s="2">
        <v>2000</v>
      </c>
      <c r="I11" s="2">
        <v>12000</v>
      </c>
      <c r="J11" s="2" t="s">
        <v>39</v>
      </c>
      <c r="K11" s="2" t="s">
        <v>20</v>
      </c>
      <c r="L11" s="2" t="s">
        <v>21</v>
      </c>
      <c r="M11" s="2" t="s">
        <v>29</v>
      </c>
      <c r="N11" s="2" t="s">
        <v>29</v>
      </c>
      <c r="O11" s="4">
        <v>46089</v>
      </c>
    </row>
    <row r="12" spans="1:15" x14ac:dyDescent="0.3">
      <c r="A12" s="2" t="s">
        <v>50</v>
      </c>
      <c r="B12">
        <v>30</v>
      </c>
      <c r="C12" t="s">
        <v>16</v>
      </c>
      <c r="D12" t="s">
        <v>25</v>
      </c>
      <c r="E12">
        <v>59146</v>
      </c>
      <c r="F12" t="s">
        <v>26</v>
      </c>
      <c r="G12">
        <v>11</v>
      </c>
      <c r="H12">
        <v>1075</v>
      </c>
      <c r="I12">
        <v>11825</v>
      </c>
      <c r="J12" t="s">
        <v>39</v>
      </c>
      <c r="K12" t="s">
        <v>20</v>
      </c>
      <c r="L12" t="s">
        <v>28</v>
      </c>
      <c r="M12" t="s">
        <v>29</v>
      </c>
      <c r="N12" t="s">
        <v>22</v>
      </c>
      <c r="O12" s="3">
        <v>46081</v>
      </c>
    </row>
    <row r="13" spans="1:15" x14ac:dyDescent="0.3">
      <c r="A13" s="2" t="s">
        <v>51</v>
      </c>
      <c r="B13">
        <v>49</v>
      </c>
      <c r="C13" t="s">
        <v>24</v>
      </c>
      <c r="D13" t="s">
        <v>37</v>
      </c>
      <c r="E13">
        <v>42383</v>
      </c>
      <c r="F13" t="s">
        <v>18</v>
      </c>
      <c r="G13">
        <v>7</v>
      </c>
      <c r="H13">
        <v>1368</v>
      </c>
      <c r="I13">
        <v>9576</v>
      </c>
      <c r="J13" t="s">
        <v>19</v>
      </c>
      <c r="K13" t="s">
        <v>20</v>
      </c>
      <c r="L13" t="s">
        <v>28</v>
      </c>
      <c r="M13" t="s">
        <v>29</v>
      </c>
      <c r="N13" t="s">
        <v>29</v>
      </c>
      <c r="O13" s="3">
        <v>46057</v>
      </c>
    </row>
    <row r="14" spans="1:15" x14ac:dyDescent="0.3">
      <c r="A14" s="2" t="s">
        <v>52</v>
      </c>
      <c r="B14">
        <v>37</v>
      </c>
      <c r="C14" t="s">
        <v>16</v>
      </c>
      <c r="D14" t="s">
        <v>41</v>
      </c>
      <c r="E14">
        <v>55412</v>
      </c>
      <c r="F14" t="s">
        <v>32</v>
      </c>
      <c r="G14">
        <v>8</v>
      </c>
      <c r="H14">
        <v>3192</v>
      </c>
      <c r="I14">
        <v>25536</v>
      </c>
      <c r="J14" t="s">
        <v>39</v>
      </c>
      <c r="K14" t="s">
        <v>34</v>
      </c>
      <c r="L14" t="s">
        <v>28</v>
      </c>
      <c r="M14" t="s">
        <v>22</v>
      </c>
      <c r="N14" t="s">
        <v>22</v>
      </c>
      <c r="O14" s="3">
        <v>46102</v>
      </c>
    </row>
    <row r="15" spans="1:15" x14ac:dyDescent="0.3">
      <c r="A15" s="2" t="s">
        <v>53</v>
      </c>
      <c r="B15">
        <v>31</v>
      </c>
      <c r="C15" t="s">
        <v>24</v>
      </c>
      <c r="D15" t="s">
        <v>31</v>
      </c>
      <c r="E15">
        <v>86225</v>
      </c>
      <c r="F15" t="s">
        <v>32</v>
      </c>
      <c r="G15">
        <v>9</v>
      </c>
      <c r="H15">
        <v>3295</v>
      </c>
      <c r="I15">
        <v>29655</v>
      </c>
      <c r="J15" t="s">
        <v>33</v>
      </c>
      <c r="K15" t="s">
        <v>20</v>
      </c>
      <c r="L15" t="s">
        <v>28</v>
      </c>
      <c r="M15" t="s">
        <v>35</v>
      </c>
      <c r="N15" t="s">
        <v>22</v>
      </c>
      <c r="O15" s="3">
        <v>46069</v>
      </c>
    </row>
    <row r="16" spans="1:15" x14ac:dyDescent="0.3">
      <c r="A16" s="2" t="s">
        <v>54</v>
      </c>
      <c r="B16">
        <v>24</v>
      </c>
      <c r="C16" t="s">
        <v>16</v>
      </c>
      <c r="D16" t="s">
        <v>37</v>
      </c>
      <c r="E16">
        <v>77958</v>
      </c>
      <c r="F16" t="s">
        <v>18</v>
      </c>
      <c r="G16">
        <v>12</v>
      </c>
      <c r="H16">
        <v>1493</v>
      </c>
      <c r="I16">
        <v>17916</v>
      </c>
      <c r="J16" t="s">
        <v>19</v>
      </c>
      <c r="K16" t="s">
        <v>34</v>
      </c>
      <c r="L16" t="s">
        <v>21</v>
      </c>
      <c r="M16" t="s">
        <v>35</v>
      </c>
      <c r="N16" t="s">
        <v>35</v>
      </c>
      <c r="O16" s="3">
        <v>46099</v>
      </c>
    </row>
    <row r="17" spans="1:15" x14ac:dyDescent="0.3">
      <c r="A17" s="2" t="s">
        <v>55</v>
      </c>
      <c r="B17">
        <v>31</v>
      </c>
      <c r="C17" t="s">
        <v>24</v>
      </c>
      <c r="D17" t="s">
        <v>17</v>
      </c>
      <c r="E17">
        <v>29108</v>
      </c>
      <c r="F17" t="s">
        <v>38</v>
      </c>
      <c r="G17">
        <v>12</v>
      </c>
      <c r="H17">
        <v>1095</v>
      </c>
      <c r="I17">
        <v>13140</v>
      </c>
      <c r="J17" t="s">
        <v>39</v>
      </c>
      <c r="K17" t="s">
        <v>20</v>
      </c>
      <c r="L17" t="s">
        <v>28</v>
      </c>
      <c r="M17" t="s">
        <v>29</v>
      </c>
      <c r="N17" t="s">
        <v>29</v>
      </c>
      <c r="O17" s="3">
        <v>46079</v>
      </c>
    </row>
    <row r="18" spans="1:15" x14ac:dyDescent="0.3">
      <c r="A18" s="2" t="s">
        <v>56</v>
      </c>
      <c r="B18">
        <v>43</v>
      </c>
      <c r="C18" t="s">
        <v>16</v>
      </c>
      <c r="D18" t="s">
        <v>41</v>
      </c>
      <c r="E18">
        <v>33625</v>
      </c>
      <c r="F18" t="s">
        <v>18</v>
      </c>
      <c r="G18">
        <v>9</v>
      </c>
      <c r="H18">
        <v>3106</v>
      </c>
      <c r="I18">
        <v>27954</v>
      </c>
      <c r="J18" t="s">
        <v>19</v>
      </c>
      <c r="K18" t="s">
        <v>20</v>
      </c>
      <c r="L18" t="s">
        <v>28</v>
      </c>
      <c r="M18" t="s">
        <v>22</v>
      </c>
      <c r="N18" t="s">
        <v>22</v>
      </c>
      <c r="O18" s="3">
        <v>46069</v>
      </c>
    </row>
    <row r="19" spans="1:15" x14ac:dyDescent="0.3">
      <c r="A19" s="2" t="s">
        <v>57</v>
      </c>
      <c r="B19">
        <v>45</v>
      </c>
      <c r="C19" t="s">
        <v>16</v>
      </c>
      <c r="D19" t="s">
        <v>41</v>
      </c>
      <c r="E19">
        <v>30820</v>
      </c>
      <c r="F19" t="s">
        <v>32</v>
      </c>
      <c r="G19">
        <v>10</v>
      </c>
      <c r="H19">
        <v>4958</v>
      </c>
      <c r="I19">
        <v>49580</v>
      </c>
      <c r="J19" t="s">
        <v>27</v>
      </c>
      <c r="K19" t="s">
        <v>34</v>
      </c>
      <c r="L19" t="s">
        <v>28</v>
      </c>
      <c r="M19" t="s">
        <v>29</v>
      </c>
      <c r="N19" t="s">
        <v>35</v>
      </c>
      <c r="O19" s="3">
        <v>46104</v>
      </c>
    </row>
    <row r="20" spans="1:15" x14ac:dyDescent="0.3">
      <c r="A20" s="2" t="s">
        <v>58</v>
      </c>
      <c r="B20">
        <v>42</v>
      </c>
      <c r="C20" t="s">
        <v>24</v>
      </c>
      <c r="D20" t="s">
        <v>17</v>
      </c>
      <c r="E20">
        <v>94746</v>
      </c>
      <c r="F20" t="s">
        <v>32</v>
      </c>
      <c r="G20">
        <v>12</v>
      </c>
      <c r="H20">
        <v>3267</v>
      </c>
      <c r="I20">
        <v>39204</v>
      </c>
      <c r="J20" t="s">
        <v>27</v>
      </c>
      <c r="K20" t="s">
        <v>34</v>
      </c>
      <c r="L20" t="s">
        <v>28</v>
      </c>
      <c r="M20" t="s">
        <v>22</v>
      </c>
      <c r="N20" t="s">
        <v>35</v>
      </c>
      <c r="O20" s="3">
        <v>46107</v>
      </c>
    </row>
    <row r="21" spans="1:15" x14ac:dyDescent="0.3">
      <c r="A21" s="2" t="s">
        <v>59</v>
      </c>
      <c r="B21">
        <v>35</v>
      </c>
      <c r="C21" t="s">
        <v>16</v>
      </c>
      <c r="D21" t="s">
        <v>44</v>
      </c>
      <c r="E21">
        <v>91313</v>
      </c>
      <c r="F21" t="s">
        <v>32</v>
      </c>
      <c r="G21">
        <v>1</v>
      </c>
      <c r="H21">
        <v>1772</v>
      </c>
      <c r="I21">
        <v>1772</v>
      </c>
      <c r="J21" t="s">
        <v>27</v>
      </c>
      <c r="K21" t="s">
        <v>20</v>
      </c>
      <c r="L21" t="s">
        <v>21</v>
      </c>
      <c r="M21" t="s">
        <v>35</v>
      </c>
      <c r="N21" t="s">
        <v>22</v>
      </c>
      <c r="O21" s="3">
        <v>46056</v>
      </c>
    </row>
    <row r="22" spans="1:15" x14ac:dyDescent="0.3">
      <c r="A22" s="2" t="s">
        <v>60</v>
      </c>
      <c r="B22">
        <v>39</v>
      </c>
      <c r="C22" t="s">
        <v>24</v>
      </c>
      <c r="D22" t="s">
        <v>37</v>
      </c>
      <c r="E22">
        <v>66153</v>
      </c>
      <c r="F22" t="s">
        <v>38</v>
      </c>
      <c r="G22">
        <v>10</v>
      </c>
      <c r="H22">
        <v>596</v>
      </c>
      <c r="I22">
        <v>5960</v>
      </c>
      <c r="J22" t="s">
        <v>19</v>
      </c>
      <c r="K22" t="s">
        <v>34</v>
      </c>
      <c r="L22" t="s">
        <v>21</v>
      </c>
      <c r="M22" t="s">
        <v>22</v>
      </c>
      <c r="N22" t="s">
        <v>22</v>
      </c>
      <c r="O22" s="3">
        <v>46064</v>
      </c>
    </row>
    <row r="23" spans="1:15" x14ac:dyDescent="0.3">
      <c r="A23" s="2" t="s">
        <v>61</v>
      </c>
      <c r="B23">
        <v>41</v>
      </c>
      <c r="C23" t="s">
        <v>24</v>
      </c>
      <c r="D23" t="s">
        <v>44</v>
      </c>
      <c r="E23">
        <v>60528</v>
      </c>
      <c r="F23" t="s">
        <v>38</v>
      </c>
      <c r="G23">
        <v>1</v>
      </c>
      <c r="H23">
        <v>4764</v>
      </c>
      <c r="I23">
        <v>4764</v>
      </c>
      <c r="J23" t="s">
        <v>39</v>
      </c>
      <c r="K23" t="s">
        <v>34</v>
      </c>
      <c r="L23" t="s">
        <v>28</v>
      </c>
      <c r="M23" t="s">
        <v>29</v>
      </c>
      <c r="N23" t="s">
        <v>29</v>
      </c>
      <c r="O23" s="3">
        <v>46103</v>
      </c>
    </row>
    <row r="24" spans="1:15" x14ac:dyDescent="0.3">
      <c r="A24" s="2" t="s">
        <v>62</v>
      </c>
      <c r="B24">
        <v>41</v>
      </c>
      <c r="C24" t="s">
        <v>16</v>
      </c>
      <c r="D24" t="s">
        <v>31</v>
      </c>
      <c r="E24">
        <v>62298</v>
      </c>
      <c r="F24" t="s">
        <v>38</v>
      </c>
      <c r="G24">
        <v>11</v>
      </c>
      <c r="H24">
        <v>3941</v>
      </c>
      <c r="I24">
        <v>43351</v>
      </c>
      <c r="J24" t="s">
        <v>33</v>
      </c>
      <c r="K24" t="s">
        <v>20</v>
      </c>
      <c r="L24" t="s">
        <v>28</v>
      </c>
      <c r="M24" t="s">
        <v>35</v>
      </c>
      <c r="N24" t="s">
        <v>35</v>
      </c>
      <c r="O24" s="3">
        <v>46059</v>
      </c>
    </row>
    <row r="25" spans="1:15" x14ac:dyDescent="0.3">
      <c r="A25" s="2" t="s">
        <v>63</v>
      </c>
      <c r="B25">
        <v>50</v>
      </c>
      <c r="C25" t="s">
        <v>16</v>
      </c>
      <c r="D25" t="s">
        <v>25</v>
      </c>
      <c r="E25">
        <v>42100</v>
      </c>
      <c r="F25" t="s">
        <v>38</v>
      </c>
      <c r="G25">
        <v>10</v>
      </c>
      <c r="H25">
        <v>3465</v>
      </c>
      <c r="I25">
        <v>34650</v>
      </c>
      <c r="J25" t="s">
        <v>33</v>
      </c>
      <c r="K25" t="s">
        <v>20</v>
      </c>
      <c r="L25" t="s">
        <v>28</v>
      </c>
      <c r="M25" t="s">
        <v>22</v>
      </c>
      <c r="N25" t="s">
        <v>22</v>
      </c>
      <c r="O25" s="3">
        <v>46073</v>
      </c>
    </row>
    <row r="26" spans="1:15" x14ac:dyDescent="0.3">
      <c r="A26" s="2" t="s">
        <v>64</v>
      </c>
      <c r="B26">
        <v>34</v>
      </c>
      <c r="C26" t="s">
        <v>16</v>
      </c>
      <c r="D26" t="s">
        <v>44</v>
      </c>
      <c r="E26">
        <v>99753</v>
      </c>
      <c r="F26" t="s">
        <v>42</v>
      </c>
      <c r="G26">
        <v>4</v>
      </c>
      <c r="H26">
        <v>566</v>
      </c>
      <c r="I26">
        <v>2264</v>
      </c>
      <c r="J26" t="s">
        <v>27</v>
      </c>
      <c r="K26" t="s">
        <v>34</v>
      </c>
      <c r="L26" t="s">
        <v>21</v>
      </c>
      <c r="M26" t="s">
        <v>22</v>
      </c>
      <c r="N26" t="s">
        <v>35</v>
      </c>
      <c r="O26" s="3">
        <v>46066</v>
      </c>
    </row>
    <row r="27" spans="1:15" x14ac:dyDescent="0.3">
      <c r="A27" s="2" t="s">
        <v>65</v>
      </c>
      <c r="B27">
        <v>52</v>
      </c>
      <c r="C27" t="s">
        <v>24</v>
      </c>
      <c r="D27" t="s">
        <v>25</v>
      </c>
      <c r="E27">
        <v>69423</v>
      </c>
      <c r="F27" t="s">
        <v>18</v>
      </c>
      <c r="G27">
        <v>9</v>
      </c>
      <c r="H27">
        <v>3699</v>
      </c>
      <c r="I27">
        <v>33291</v>
      </c>
      <c r="J27" t="s">
        <v>19</v>
      </c>
      <c r="K27" t="s">
        <v>34</v>
      </c>
      <c r="L27" t="s">
        <v>28</v>
      </c>
      <c r="M27" t="s">
        <v>35</v>
      </c>
      <c r="N27" t="s">
        <v>29</v>
      </c>
      <c r="O27" s="3">
        <v>46036</v>
      </c>
    </row>
    <row r="28" spans="1:15" x14ac:dyDescent="0.3">
      <c r="A28" s="2" t="s">
        <v>66</v>
      </c>
      <c r="B28">
        <v>43</v>
      </c>
      <c r="C28" t="s">
        <v>24</v>
      </c>
      <c r="D28" t="s">
        <v>37</v>
      </c>
      <c r="E28">
        <v>36944</v>
      </c>
      <c r="F28" t="s">
        <v>42</v>
      </c>
      <c r="G28">
        <v>5</v>
      </c>
      <c r="H28">
        <v>1887</v>
      </c>
      <c r="I28">
        <v>9435</v>
      </c>
      <c r="J28" t="s">
        <v>27</v>
      </c>
      <c r="K28" t="s">
        <v>34</v>
      </c>
      <c r="L28" t="s">
        <v>28</v>
      </c>
      <c r="M28" t="s">
        <v>22</v>
      </c>
      <c r="N28" t="s">
        <v>22</v>
      </c>
      <c r="O28" s="3">
        <v>46033</v>
      </c>
    </row>
    <row r="29" spans="1:15" x14ac:dyDescent="0.3">
      <c r="A29" s="2" t="s">
        <v>67</v>
      </c>
      <c r="B29">
        <v>56</v>
      </c>
      <c r="C29" t="s">
        <v>16</v>
      </c>
      <c r="D29" t="s">
        <v>37</v>
      </c>
      <c r="E29">
        <v>25584</v>
      </c>
      <c r="F29" t="s">
        <v>42</v>
      </c>
      <c r="G29">
        <v>7</v>
      </c>
      <c r="H29">
        <v>2129</v>
      </c>
      <c r="I29">
        <v>14903</v>
      </c>
      <c r="J29" t="s">
        <v>19</v>
      </c>
      <c r="K29" t="s">
        <v>34</v>
      </c>
      <c r="L29" t="s">
        <v>28</v>
      </c>
      <c r="M29" t="s">
        <v>22</v>
      </c>
      <c r="N29" t="s">
        <v>29</v>
      </c>
      <c r="O29" s="3">
        <v>46102</v>
      </c>
    </row>
    <row r="30" spans="1:15" x14ac:dyDescent="0.3">
      <c r="A30" s="2" t="s">
        <v>68</v>
      </c>
      <c r="B30">
        <v>22</v>
      </c>
      <c r="C30" t="s">
        <v>24</v>
      </c>
      <c r="D30" t="s">
        <v>17</v>
      </c>
      <c r="E30">
        <v>72375</v>
      </c>
      <c r="F30" t="s">
        <v>18</v>
      </c>
      <c r="G30">
        <v>6</v>
      </c>
      <c r="H30">
        <v>929</v>
      </c>
      <c r="I30">
        <v>5574</v>
      </c>
      <c r="J30" t="s">
        <v>27</v>
      </c>
      <c r="K30" t="s">
        <v>20</v>
      </c>
      <c r="L30" t="s">
        <v>28</v>
      </c>
      <c r="M30" t="s">
        <v>29</v>
      </c>
      <c r="N30" t="s">
        <v>29</v>
      </c>
      <c r="O30" s="3">
        <v>46061</v>
      </c>
    </row>
    <row r="31" spans="1:15" x14ac:dyDescent="0.3">
      <c r="A31" s="2" t="s">
        <v>69</v>
      </c>
      <c r="B31">
        <v>60</v>
      </c>
      <c r="C31" t="s">
        <v>24</v>
      </c>
      <c r="D31" t="s">
        <v>37</v>
      </c>
      <c r="E31">
        <v>29365</v>
      </c>
      <c r="F31" t="s">
        <v>26</v>
      </c>
      <c r="G31">
        <v>11</v>
      </c>
      <c r="H31">
        <v>2170</v>
      </c>
      <c r="I31">
        <v>23870</v>
      </c>
      <c r="J31" t="s">
        <v>19</v>
      </c>
      <c r="K31" t="s">
        <v>34</v>
      </c>
      <c r="L31" t="s">
        <v>21</v>
      </c>
      <c r="M31" t="s">
        <v>22</v>
      </c>
      <c r="N31" t="s">
        <v>22</v>
      </c>
      <c r="O31" s="3">
        <v>46088</v>
      </c>
    </row>
    <row r="32" spans="1:15" x14ac:dyDescent="0.3">
      <c r="A32" s="2" t="s">
        <v>70</v>
      </c>
      <c r="B32">
        <v>59</v>
      </c>
      <c r="C32" t="s">
        <v>16</v>
      </c>
      <c r="D32" t="s">
        <v>31</v>
      </c>
      <c r="E32">
        <v>49757</v>
      </c>
      <c r="F32" t="s">
        <v>42</v>
      </c>
      <c r="G32">
        <v>6</v>
      </c>
      <c r="H32">
        <v>2564</v>
      </c>
      <c r="I32">
        <v>15384</v>
      </c>
      <c r="J32" t="s">
        <v>33</v>
      </c>
      <c r="K32" t="s">
        <v>34</v>
      </c>
      <c r="L32" t="s">
        <v>28</v>
      </c>
      <c r="M32" t="s">
        <v>35</v>
      </c>
      <c r="N32" t="s">
        <v>29</v>
      </c>
      <c r="O32" s="3">
        <v>46077</v>
      </c>
    </row>
    <row r="33" spans="1:15" x14ac:dyDescent="0.3">
      <c r="A33" s="2" t="s">
        <v>71</v>
      </c>
      <c r="B33">
        <v>55</v>
      </c>
      <c r="C33" t="s">
        <v>24</v>
      </c>
      <c r="D33" t="s">
        <v>37</v>
      </c>
      <c r="E33">
        <v>86123</v>
      </c>
      <c r="F33" t="s">
        <v>38</v>
      </c>
      <c r="G33">
        <v>2</v>
      </c>
      <c r="H33">
        <v>2211</v>
      </c>
      <c r="I33">
        <v>4422</v>
      </c>
      <c r="J33" t="s">
        <v>39</v>
      </c>
      <c r="K33" t="s">
        <v>34</v>
      </c>
      <c r="L33" t="s">
        <v>28</v>
      </c>
      <c r="M33" t="s">
        <v>22</v>
      </c>
      <c r="N33" t="s">
        <v>35</v>
      </c>
      <c r="O33" s="3">
        <v>46062</v>
      </c>
    </row>
    <row r="34" spans="1:15" x14ac:dyDescent="0.3">
      <c r="A34" s="2" t="s">
        <v>72</v>
      </c>
      <c r="B34">
        <v>25</v>
      </c>
      <c r="C34" t="s">
        <v>16</v>
      </c>
      <c r="D34" t="s">
        <v>41</v>
      </c>
      <c r="E34">
        <v>62759</v>
      </c>
      <c r="F34" t="s">
        <v>18</v>
      </c>
      <c r="G34">
        <v>8</v>
      </c>
      <c r="H34">
        <v>4795</v>
      </c>
      <c r="I34">
        <v>38360</v>
      </c>
      <c r="J34" t="s">
        <v>27</v>
      </c>
      <c r="K34" t="s">
        <v>34</v>
      </c>
      <c r="L34" t="s">
        <v>28</v>
      </c>
      <c r="M34" t="s">
        <v>29</v>
      </c>
      <c r="N34" t="s">
        <v>35</v>
      </c>
      <c r="O34" s="3">
        <v>46058</v>
      </c>
    </row>
    <row r="35" spans="1:15" x14ac:dyDescent="0.3">
      <c r="A35" s="2" t="s">
        <v>73</v>
      </c>
      <c r="B35">
        <v>58</v>
      </c>
      <c r="C35" t="s">
        <v>24</v>
      </c>
      <c r="D35" t="s">
        <v>41</v>
      </c>
      <c r="E35">
        <v>81366</v>
      </c>
      <c r="F35" t="s">
        <v>18</v>
      </c>
      <c r="G35">
        <v>6</v>
      </c>
      <c r="H35">
        <v>3613</v>
      </c>
      <c r="I35">
        <v>21678</v>
      </c>
      <c r="J35" t="s">
        <v>27</v>
      </c>
      <c r="K35" t="s">
        <v>20</v>
      </c>
      <c r="L35" t="s">
        <v>21</v>
      </c>
      <c r="M35" t="s">
        <v>35</v>
      </c>
      <c r="N35" t="s">
        <v>35</v>
      </c>
      <c r="O35" s="3">
        <v>46031</v>
      </c>
    </row>
    <row r="36" spans="1:15" x14ac:dyDescent="0.3">
      <c r="A36" s="2" t="s">
        <v>74</v>
      </c>
      <c r="B36">
        <v>51</v>
      </c>
      <c r="C36" t="s">
        <v>16</v>
      </c>
      <c r="D36" t="s">
        <v>37</v>
      </c>
      <c r="E36">
        <v>88402</v>
      </c>
      <c r="F36" t="s">
        <v>18</v>
      </c>
      <c r="G36">
        <v>3</v>
      </c>
      <c r="H36">
        <v>2374</v>
      </c>
      <c r="I36">
        <v>7122</v>
      </c>
      <c r="J36" t="s">
        <v>27</v>
      </c>
      <c r="K36" t="s">
        <v>20</v>
      </c>
      <c r="L36" t="s">
        <v>28</v>
      </c>
      <c r="M36" t="s">
        <v>29</v>
      </c>
      <c r="N36" t="s">
        <v>29</v>
      </c>
      <c r="O36" s="3">
        <v>46112</v>
      </c>
    </row>
    <row r="37" spans="1:15" x14ac:dyDescent="0.3">
      <c r="A37" s="2" t="s">
        <v>75</v>
      </c>
      <c r="B37">
        <v>39</v>
      </c>
      <c r="C37" t="s">
        <v>24</v>
      </c>
      <c r="D37" t="s">
        <v>31</v>
      </c>
      <c r="E37">
        <v>84069</v>
      </c>
      <c r="F37" t="s">
        <v>18</v>
      </c>
      <c r="G37">
        <v>4</v>
      </c>
      <c r="H37">
        <v>2667</v>
      </c>
      <c r="I37">
        <v>10668</v>
      </c>
      <c r="J37" t="s">
        <v>19</v>
      </c>
      <c r="K37" t="s">
        <v>20</v>
      </c>
      <c r="L37" t="s">
        <v>21</v>
      </c>
      <c r="M37" t="s">
        <v>29</v>
      </c>
      <c r="N37" t="s">
        <v>22</v>
      </c>
      <c r="O37" s="3">
        <v>46075</v>
      </c>
    </row>
    <row r="38" spans="1:15" x14ac:dyDescent="0.3">
      <c r="A38" s="2" t="s">
        <v>76</v>
      </c>
      <c r="B38">
        <v>36</v>
      </c>
      <c r="C38" t="s">
        <v>24</v>
      </c>
      <c r="D38" t="s">
        <v>25</v>
      </c>
      <c r="E38">
        <v>34359</v>
      </c>
      <c r="F38" t="s">
        <v>26</v>
      </c>
      <c r="G38">
        <v>7</v>
      </c>
      <c r="H38">
        <v>2265</v>
      </c>
      <c r="I38">
        <v>15855</v>
      </c>
      <c r="J38" t="s">
        <v>33</v>
      </c>
      <c r="K38" t="s">
        <v>34</v>
      </c>
      <c r="L38" t="s">
        <v>21</v>
      </c>
      <c r="M38" t="s">
        <v>35</v>
      </c>
      <c r="N38" t="s">
        <v>35</v>
      </c>
      <c r="O38" s="3">
        <v>46101</v>
      </c>
    </row>
    <row r="39" spans="1:15" x14ac:dyDescent="0.3">
      <c r="A39" s="2" t="s">
        <v>77</v>
      </c>
      <c r="B39">
        <v>25</v>
      </c>
      <c r="C39" t="s">
        <v>24</v>
      </c>
      <c r="D39" t="s">
        <v>44</v>
      </c>
      <c r="E39">
        <v>43832</v>
      </c>
      <c r="F39" t="s">
        <v>32</v>
      </c>
      <c r="G39">
        <v>8</v>
      </c>
      <c r="H39">
        <v>4092</v>
      </c>
      <c r="I39">
        <v>32736</v>
      </c>
      <c r="J39" t="s">
        <v>27</v>
      </c>
      <c r="K39" t="s">
        <v>20</v>
      </c>
      <c r="L39" t="s">
        <v>28</v>
      </c>
      <c r="M39" t="s">
        <v>22</v>
      </c>
      <c r="N39" t="s">
        <v>29</v>
      </c>
      <c r="O39" s="3">
        <v>46105</v>
      </c>
    </row>
    <row r="40" spans="1:15" x14ac:dyDescent="0.3">
      <c r="A40" s="2" t="s">
        <v>78</v>
      </c>
      <c r="B40">
        <v>29</v>
      </c>
      <c r="C40" t="s">
        <v>16</v>
      </c>
      <c r="D40" t="s">
        <v>31</v>
      </c>
      <c r="E40">
        <v>82700</v>
      </c>
      <c r="F40" t="s">
        <v>18</v>
      </c>
      <c r="G40">
        <v>3</v>
      </c>
      <c r="H40">
        <v>3902</v>
      </c>
      <c r="I40">
        <v>11706</v>
      </c>
      <c r="J40" t="s">
        <v>39</v>
      </c>
      <c r="K40" t="s">
        <v>34</v>
      </c>
      <c r="L40" t="s">
        <v>28</v>
      </c>
      <c r="M40" t="s">
        <v>35</v>
      </c>
      <c r="N40" t="s">
        <v>35</v>
      </c>
      <c r="O40" s="3">
        <v>46086</v>
      </c>
    </row>
    <row r="41" spans="1:15" x14ac:dyDescent="0.3">
      <c r="A41" s="2" t="s">
        <v>79</v>
      </c>
      <c r="B41">
        <v>31</v>
      </c>
      <c r="C41" t="s">
        <v>16</v>
      </c>
      <c r="D41" t="s">
        <v>44</v>
      </c>
      <c r="E41">
        <v>91135</v>
      </c>
      <c r="F41" t="s">
        <v>26</v>
      </c>
      <c r="G41">
        <v>11</v>
      </c>
      <c r="H41">
        <v>2032</v>
      </c>
      <c r="I41">
        <v>22352</v>
      </c>
      <c r="J41" t="s">
        <v>33</v>
      </c>
      <c r="K41" t="s">
        <v>34</v>
      </c>
      <c r="L41" t="s">
        <v>28</v>
      </c>
      <c r="M41" t="s">
        <v>29</v>
      </c>
      <c r="N41" t="s">
        <v>35</v>
      </c>
      <c r="O41" s="3">
        <v>46101</v>
      </c>
    </row>
    <row r="42" spans="1:15" x14ac:dyDescent="0.3">
      <c r="A42" s="2" t="s">
        <v>80</v>
      </c>
      <c r="B42">
        <v>23</v>
      </c>
      <c r="C42" t="s">
        <v>24</v>
      </c>
      <c r="D42" t="s">
        <v>37</v>
      </c>
      <c r="E42">
        <v>50960</v>
      </c>
      <c r="F42" t="s">
        <v>42</v>
      </c>
      <c r="G42">
        <v>8</v>
      </c>
      <c r="H42">
        <v>3294</v>
      </c>
      <c r="I42">
        <v>26352</v>
      </c>
      <c r="J42" t="s">
        <v>39</v>
      </c>
      <c r="K42" t="s">
        <v>20</v>
      </c>
      <c r="L42" t="s">
        <v>28</v>
      </c>
      <c r="M42" t="s">
        <v>29</v>
      </c>
      <c r="N42" t="s">
        <v>29</v>
      </c>
      <c r="O42" s="3">
        <v>46059</v>
      </c>
    </row>
    <row r="43" spans="1:15" x14ac:dyDescent="0.3">
      <c r="A43" s="2" t="s">
        <v>81</v>
      </c>
      <c r="B43">
        <v>47</v>
      </c>
      <c r="C43" t="s">
        <v>24</v>
      </c>
      <c r="D43" t="s">
        <v>17</v>
      </c>
      <c r="E43">
        <v>53490</v>
      </c>
      <c r="F43" t="s">
        <v>42</v>
      </c>
      <c r="G43">
        <v>10</v>
      </c>
      <c r="H43">
        <v>700</v>
      </c>
      <c r="I43">
        <v>7000</v>
      </c>
      <c r="J43" t="s">
        <v>33</v>
      </c>
      <c r="K43" t="s">
        <v>34</v>
      </c>
      <c r="L43" t="s">
        <v>21</v>
      </c>
      <c r="M43" t="s">
        <v>29</v>
      </c>
      <c r="N43" t="s">
        <v>35</v>
      </c>
      <c r="O43" s="3">
        <v>46083</v>
      </c>
    </row>
    <row r="44" spans="1:15" x14ac:dyDescent="0.3">
      <c r="A44" s="2" t="s">
        <v>82</v>
      </c>
      <c r="B44">
        <v>34</v>
      </c>
      <c r="C44" t="s">
        <v>16</v>
      </c>
      <c r="D44" t="s">
        <v>37</v>
      </c>
      <c r="E44">
        <v>74058</v>
      </c>
      <c r="F44" t="s">
        <v>42</v>
      </c>
      <c r="G44">
        <v>4</v>
      </c>
      <c r="H44">
        <v>1806</v>
      </c>
      <c r="I44">
        <v>7224</v>
      </c>
      <c r="J44" t="s">
        <v>27</v>
      </c>
      <c r="K44" t="s">
        <v>34</v>
      </c>
      <c r="L44" t="s">
        <v>28</v>
      </c>
      <c r="M44" t="s">
        <v>22</v>
      </c>
      <c r="N44" t="s">
        <v>35</v>
      </c>
      <c r="O44" s="3">
        <v>46044</v>
      </c>
    </row>
    <row r="45" spans="1:15" x14ac:dyDescent="0.3">
      <c r="A45" s="2" t="s">
        <v>83</v>
      </c>
      <c r="B45">
        <v>27</v>
      </c>
      <c r="C45" t="s">
        <v>24</v>
      </c>
      <c r="D45" t="s">
        <v>25</v>
      </c>
      <c r="E45">
        <v>39001</v>
      </c>
      <c r="F45" t="s">
        <v>26</v>
      </c>
      <c r="G45">
        <v>2</v>
      </c>
      <c r="H45">
        <v>3517</v>
      </c>
      <c r="I45">
        <v>7034</v>
      </c>
      <c r="J45" t="s">
        <v>33</v>
      </c>
      <c r="K45" t="s">
        <v>20</v>
      </c>
      <c r="L45" t="s">
        <v>28</v>
      </c>
      <c r="M45" t="s">
        <v>22</v>
      </c>
      <c r="N45" t="s">
        <v>35</v>
      </c>
      <c r="O45" s="3">
        <v>46071</v>
      </c>
    </row>
    <row r="46" spans="1:15" x14ac:dyDescent="0.3">
      <c r="A46" s="2" t="s">
        <v>84</v>
      </c>
      <c r="B46">
        <v>36</v>
      </c>
      <c r="C46" t="s">
        <v>16</v>
      </c>
      <c r="D46" t="s">
        <v>44</v>
      </c>
      <c r="E46">
        <v>59073</v>
      </c>
      <c r="F46" t="s">
        <v>26</v>
      </c>
      <c r="G46">
        <v>8</v>
      </c>
      <c r="H46">
        <v>3765</v>
      </c>
      <c r="I46">
        <v>30120</v>
      </c>
      <c r="J46" t="s">
        <v>27</v>
      </c>
      <c r="K46" t="s">
        <v>34</v>
      </c>
      <c r="L46" t="s">
        <v>21</v>
      </c>
      <c r="M46" t="s">
        <v>35</v>
      </c>
      <c r="N46" t="s">
        <v>35</v>
      </c>
      <c r="O46" s="3">
        <v>46100</v>
      </c>
    </row>
    <row r="47" spans="1:15" x14ac:dyDescent="0.3">
      <c r="A47" s="2" t="s">
        <v>85</v>
      </c>
      <c r="B47">
        <v>31</v>
      </c>
      <c r="C47" t="s">
        <v>24</v>
      </c>
      <c r="D47" t="s">
        <v>44</v>
      </c>
      <c r="E47">
        <v>25595</v>
      </c>
      <c r="F47" t="s">
        <v>38</v>
      </c>
      <c r="G47">
        <v>1</v>
      </c>
      <c r="H47">
        <v>2561</v>
      </c>
      <c r="I47">
        <v>2561</v>
      </c>
      <c r="J47" t="s">
        <v>19</v>
      </c>
      <c r="K47" t="s">
        <v>20</v>
      </c>
      <c r="L47" t="s">
        <v>28</v>
      </c>
      <c r="M47" t="s">
        <v>22</v>
      </c>
      <c r="N47" t="s">
        <v>22</v>
      </c>
      <c r="O47" s="3">
        <v>46032</v>
      </c>
    </row>
    <row r="48" spans="1:15" x14ac:dyDescent="0.3">
      <c r="A48" s="2" t="s">
        <v>86</v>
      </c>
      <c r="B48">
        <v>49</v>
      </c>
      <c r="C48" t="s">
        <v>24</v>
      </c>
      <c r="D48" t="s">
        <v>17</v>
      </c>
      <c r="E48">
        <v>28162</v>
      </c>
      <c r="F48" t="s">
        <v>42</v>
      </c>
      <c r="G48">
        <v>9</v>
      </c>
      <c r="H48">
        <v>3001</v>
      </c>
      <c r="I48">
        <v>27009</v>
      </c>
      <c r="J48" t="s">
        <v>27</v>
      </c>
      <c r="K48" t="s">
        <v>34</v>
      </c>
      <c r="L48" t="s">
        <v>28</v>
      </c>
      <c r="M48" t="s">
        <v>35</v>
      </c>
      <c r="N48" t="s">
        <v>35</v>
      </c>
      <c r="O48" s="3">
        <v>46043</v>
      </c>
    </row>
    <row r="49" spans="1:15" x14ac:dyDescent="0.3">
      <c r="A49" s="2" t="s">
        <v>87</v>
      </c>
      <c r="B49">
        <v>28</v>
      </c>
      <c r="C49" t="s">
        <v>24</v>
      </c>
      <c r="D49" t="s">
        <v>37</v>
      </c>
      <c r="E49">
        <v>78071</v>
      </c>
      <c r="F49" t="s">
        <v>18</v>
      </c>
      <c r="G49">
        <v>4</v>
      </c>
      <c r="H49">
        <v>3269</v>
      </c>
      <c r="I49">
        <v>13076</v>
      </c>
      <c r="J49" t="s">
        <v>27</v>
      </c>
      <c r="K49" t="s">
        <v>34</v>
      </c>
      <c r="L49" t="s">
        <v>21</v>
      </c>
      <c r="M49" t="s">
        <v>35</v>
      </c>
      <c r="N49" t="s">
        <v>29</v>
      </c>
      <c r="O49" s="3">
        <v>46035</v>
      </c>
    </row>
    <row r="50" spans="1:15" x14ac:dyDescent="0.3">
      <c r="A50" s="2" t="s">
        <v>88</v>
      </c>
      <c r="B50">
        <v>32</v>
      </c>
      <c r="C50" t="s">
        <v>24</v>
      </c>
      <c r="D50" t="s">
        <v>41</v>
      </c>
      <c r="E50">
        <v>95570</v>
      </c>
      <c r="F50" t="s">
        <v>38</v>
      </c>
      <c r="G50">
        <v>3</v>
      </c>
      <c r="H50">
        <v>598</v>
      </c>
      <c r="I50">
        <v>1794</v>
      </c>
      <c r="J50" t="s">
        <v>19</v>
      </c>
      <c r="K50" t="s">
        <v>20</v>
      </c>
      <c r="L50" t="s">
        <v>21</v>
      </c>
      <c r="M50" t="s">
        <v>22</v>
      </c>
      <c r="N50" t="s">
        <v>22</v>
      </c>
      <c r="O50" s="3">
        <v>46025</v>
      </c>
    </row>
    <row r="51" spans="1:15" x14ac:dyDescent="0.3">
      <c r="A51" s="2" t="s">
        <v>89</v>
      </c>
      <c r="B51">
        <v>30</v>
      </c>
      <c r="C51" t="s">
        <v>24</v>
      </c>
      <c r="D51" t="s">
        <v>41</v>
      </c>
      <c r="E51">
        <v>65952</v>
      </c>
      <c r="F51" t="s">
        <v>38</v>
      </c>
      <c r="G51">
        <v>12</v>
      </c>
      <c r="H51">
        <v>4948</v>
      </c>
      <c r="I51">
        <v>59376</v>
      </c>
      <c r="J51" t="s">
        <v>39</v>
      </c>
      <c r="K51" t="s">
        <v>34</v>
      </c>
      <c r="L51" t="s">
        <v>28</v>
      </c>
      <c r="M51" t="s">
        <v>35</v>
      </c>
      <c r="N51" t="s">
        <v>29</v>
      </c>
      <c r="O51" s="3">
        <v>46109</v>
      </c>
    </row>
    <row r="52" spans="1:15" x14ac:dyDescent="0.3">
      <c r="A52" s="2" t="s">
        <v>90</v>
      </c>
      <c r="B52">
        <v>55</v>
      </c>
      <c r="C52" t="s">
        <v>16</v>
      </c>
      <c r="D52" t="s">
        <v>25</v>
      </c>
      <c r="E52">
        <v>36189</v>
      </c>
      <c r="F52" t="s">
        <v>26</v>
      </c>
      <c r="G52">
        <v>11</v>
      </c>
      <c r="H52">
        <v>4169</v>
      </c>
      <c r="I52">
        <v>45859</v>
      </c>
      <c r="J52" t="s">
        <v>27</v>
      </c>
      <c r="K52" t="s">
        <v>20</v>
      </c>
      <c r="L52" t="s">
        <v>28</v>
      </c>
      <c r="M52" t="s">
        <v>35</v>
      </c>
      <c r="N52" t="s">
        <v>35</v>
      </c>
      <c r="O52" s="3">
        <v>46096</v>
      </c>
    </row>
    <row r="53" spans="1:15" x14ac:dyDescent="0.3">
      <c r="A53" s="2" t="s">
        <v>91</v>
      </c>
      <c r="B53">
        <v>34</v>
      </c>
      <c r="C53" t="s">
        <v>24</v>
      </c>
      <c r="D53" t="s">
        <v>25</v>
      </c>
      <c r="E53">
        <v>82839</v>
      </c>
      <c r="F53" t="s">
        <v>26</v>
      </c>
      <c r="G53">
        <v>11</v>
      </c>
      <c r="H53">
        <v>3747</v>
      </c>
      <c r="I53">
        <v>41217</v>
      </c>
      <c r="J53" t="s">
        <v>27</v>
      </c>
      <c r="K53" t="s">
        <v>20</v>
      </c>
      <c r="L53" t="s">
        <v>28</v>
      </c>
      <c r="M53" t="s">
        <v>29</v>
      </c>
      <c r="N53" t="s">
        <v>29</v>
      </c>
      <c r="O53" s="3">
        <v>46111</v>
      </c>
    </row>
    <row r="54" spans="1:15" x14ac:dyDescent="0.3">
      <c r="A54" s="2" t="s">
        <v>92</v>
      </c>
      <c r="B54">
        <v>42</v>
      </c>
      <c r="C54" t="s">
        <v>16</v>
      </c>
      <c r="D54" t="s">
        <v>41</v>
      </c>
      <c r="E54">
        <v>79260</v>
      </c>
      <c r="F54" t="s">
        <v>32</v>
      </c>
      <c r="G54">
        <v>9</v>
      </c>
      <c r="H54">
        <v>3471</v>
      </c>
      <c r="I54">
        <v>31239</v>
      </c>
      <c r="J54" t="s">
        <v>33</v>
      </c>
      <c r="K54" t="s">
        <v>34</v>
      </c>
      <c r="L54" t="s">
        <v>21</v>
      </c>
      <c r="M54" t="s">
        <v>29</v>
      </c>
      <c r="N54" t="s">
        <v>22</v>
      </c>
      <c r="O54" s="3">
        <v>46057</v>
      </c>
    </row>
    <row r="55" spans="1:15" x14ac:dyDescent="0.3">
      <c r="A55" s="2" t="s">
        <v>93</v>
      </c>
      <c r="B55">
        <v>42</v>
      </c>
      <c r="C55" t="s">
        <v>24</v>
      </c>
      <c r="D55" t="s">
        <v>17</v>
      </c>
      <c r="E55">
        <v>98742</v>
      </c>
      <c r="F55" t="s">
        <v>38</v>
      </c>
      <c r="G55">
        <v>1</v>
      </c>
      <c r="H55">
        <v>3444</v>
      </c>
      <c r="I55">
        <v>3444</v>
      </c>
      <c r="J55" t="s">
        <v>19</v>
      </c>
      <c r="K55" t="s">
        <v>20</v>
      </c>
      <c r="L55" t="s">
        <v>28</v>
      </c>
      <c r="M55" t="s">
        <v>22</v>
      </c>
      <c r="N55" t="s">
        <v>22</v>
      </c>
      <c r="O55" s="3">
        <v>46028</v>
      </c>
    </row>
    <row r="56" spans="1:15" x14ac:dyDescent="0.3">
      <c r="A56" s="2" t="s">
        <v>94</v>
      </c>
      <c r="B56">
        <v>57</v>
      </c>
      <c r="C56" t="s">
        <v>16</v>
      </c>
      <c r="D56" t="s">
        <v>37</v>
      </c>
      <c r="E56">
        <v>37457</v>
      </c>
      <c r="F56" t="s">
        <v>42</v>
      </c>
      <c r="G56">
        <v>8</v>
      </c>
      <c r="H56">
        <v>3842</v>
      </c>
      <c r="I56">
        <v>30736</v>
      </c>
      <c r="J56" t="s">
        <v>39</v>
      </c>
      <c r="K56" t="s">
        <v>20</v>
      </c>
      <c r="L56" t="s">
        <v>28</v>
      </c>
      <c r="M56" t="s">
        <v>29</v>
      </c>
      <c r="N56" t="s">
        <v>35</v>
      </c>
      <c r="O56" s="3">
        <v>46049</v>
      </c>
    </row>
    <row r="57" spans="1:15" x14ac:dyDescent="0.3">
      <c r="A57" s="2" t="s">
        <v>95</v>
      </c>
      <c r="B57">
        <v>49</v>
      </c>
      <c r="C57" t="s">
        <v>24</v>
      </c>
      <c r="D57" t="s">
        <v>31</v>
      </c>
      <c r="E57">
        <v>84156</v>
      </c>
      <c r="F57" t="s">
        <v>32</v>
      </c>
      <c r="G57">
        <v>10</v>
      </c>
      <c r="H57">
        <v>1175</v>
      </c>
      <c r="I57">
        <v>11750</v>
      </c>
      <c r="J57" t="s">
        <v>19</v>
      </c>
      <c r="K57" t="s">
        <v>34</v>
      </c>
      <c r="L57" t="s">
        <v>28</v>
      </c>
      <c r="M57" t="s">
        <v>35</v>
      </c>
      <c r="N57" t="s">
        <v>29</v>
      </c>
      <c r="O57" s="3">
        <v>46039</v>
      </c>
    </row>
    <row r="58" spans="1:15" x14ac:dyDescent="0.3">
      <c r="A58" s="2" t="s">
        <v>96</v>
      </c>
      <c r="B58">
        <v>47</v>
      </c>
      <c r="C58" t="s">
        <v>16</v>
      </c>
      <c r="D58" t="s">
        <v>31</v>
      </c>
      <c r="E58">
        <v>57872</v>
      </c>
      <c r="F58" t="s">
        <v>26</v>
      </c>
      <c r="G58">
        <v>2</v>
      </c>
      <c r="H58">
        <v>3620</v>
      </c>
      <c r="I58">
        <v>7240</v>
      </c>
      <c r="J58" t="s">
        <v>27</v>
      </c>
      <c r="K58" t="s">
        <v>20</v>
      </c>
      <c r="L58" t="s">
        <v>21</v>
      </c>
      <c r="M58" t="s">
        <v>22</v>
      </c>
      <c r="N58" t="s">
        <v>29</v>
      </c>
      <c r="O58" s="3">
        <v>46097</v>
      </c>
    </row>
    <row r="59" spans="1:15" x14ac:dyDescent="0.3">
      <c r="A59" s="2" t="s">
        <v>97</v>
      </c>
      <c r="B59">
        <v>23</v>
      </c>
      <c r="C59" t="s">
        <v>16</v>
      </c>
      <c r="D59" t="s">
        <v>31</v>
      </c>
      <c r="E59">
        <v>76947</v>
      </c>
      <c r="F59" t="s">
        <v>38</v>
      </c>
      <c r="G59">
        <v>3</v>
      </c>
      <c r="H59">
        <v>4166</v>
      </c>
      <c r="I59">
        <v>12498</v>
      </c>
      <c r="J59" t="s">
        <v>27</v>
      </c>
      <c r="K59" t="s">
        <v>34</v>
      </c>
      <c r="L59" t="s">
        <v>28</v>
      </c>
      <c r="M59" t="s">
        <v>29</v>
      </c>
      <c r="N59" t="s">
        <v>29</v>
      </c>
      <c r="O59" s="3">
        <v>46101</v>
      </c>
    </row>
    <row r="60" spans="1:15" x14ac:dyDescent="0.3">
      <c r="A60" s="2" t="s">
        <v>98</v>
      </c>
      <c r="B60">
        <v>39</v>
      </c>
      <c r="C60" t="s">
        <v>24</v>
      </c>
      <c r="D60" t="s">
        <v>31</v>
      </c>
      <c r="E60">
        <v>27869</v>
      </c>
      <c r="F60" t="s">
        <v>38</v>
      </c>
      <c r="G60">
        <v>9</v>
      </c>
      <c r="H60">
        <v>1041</v>
      </c>
      <c r="I60">
        <v>9369</v>
      </c>
      <c r="J60" t="s">
        <v>33</v>
      </c>
      <c r="K60" t="s">
        <v>34</v>
      </c>
      <c r="L60" t="s">
        <v>28</v>
      </c>
      <c r="M60" t="s">
        <v>22</v>
      </c>
      <c r="N60" t="s">
        <v>22</v>
      </c>
      <c r="O60" s="3">
        <v>46095</v>
      </c>
    </row>
    <row r="61" spans="1:15" x14ac:dyDescent="0.3">
      <c r="A61" s="2" t="s">
        <v>99</v>
      </c>
      <c r="B61">
        <v>57</v>
      </c>
      <c r="C61" t="s">
        <v>16</v>
      </c>
      <c r="D61" t="s">
        <v>37</v>
      </c>
      <c r="E61">
        <v>63515</v>
      </c>
      <c r="F61" t="s">
        <v>42</v>
      </c>
      <c r="G61">
        <v>5</v>
      </c>
      <c r="H61">
        <v>4400</v>
      </c>
      <c r="I61">
        <v>22000</v>
      </c>
      <c r="J61" t="s">
        <v>39</v>
      </c>
      <c r="K61" t="s">
        <v>34</v>
      </c>
      <c r="L61" t="s">
        <v>21</v>
      </c>
      <c r="M61" t="s">
        <v>29</v>
      </c>
      <c r="N61" t="s">
        <v>35</v>
      </c>
      <c r="O61" s="3">
        <v>46055</v>
      </c>
    </row>
    <row r="62" spans="1:15" x14ac:dyDescent="0.3">
      <c r="A62" s="2" t="s">
        <v>100</v>
      </c>
      <c r="B62">
        <v>51</v>
      </c>
      <c r="C62" t="s">
        <v>16</v>
      </c>
      <c r="D62" t="s">
        <v>44</v>
      </c>
      <c r="E62">
        <v>58023</v>
      </c>
      <c r="F62" t="s">
        <v>26</v>
      </c>
      <c r="G62">
        <v>1</v>
      </c>
      <c r="H62">
        <v>3322</v>
      </c>
      <c r="I62">
        <v>3322</v>
      </c>
      <c r="J62" t="s">
        <v>33</v>
      </c>
      <c r="K62" t="s">
        <v>34</v>
      </c>
      <c r="L62" t="s">
        <v>21</v>
      </c>
      <c r="M62" t="s">
        <v>22</v>
      </c>
      <c r="N62" t="s">
        <v>35</v>
      </c>
      <c r="O62" s="3">
        <v>46096</v>
      </c>
    </row>
    <row r="63" spans="1:15" x14ac:dyDescent="0.3">
      <c r="A63" s="2" t="s">
        <v>101</v>
      </c>
      <c r="B63">
        <v>39</v>
      </c>
      <c r="C63" t="s">
        <v>24</v>
      </c>
      <c r="D63" t="s">
        <v>31</v>
      </c>
      <c r="E63">
        <v>92549</v>
      </c>
      <c r="F63" t="s">
        <v>38</v>
      </c>
      <c r="G63">
        <v>9</v>
      </c>
      <c r="H63">
        <v>2436</v>
      </c>
      <c r="I63">
        <v>21924</v>
      </c>
      <c r="J63" t="s">
        <v>39</v>
      </c>
      <c r="K63" t="s">
        <v>34</v>
      </c>
      <c r="L63" t="s">
        <v>28</v>
      </c>
      <c r="M63" t="s">
        <v>22</v>
      </c>
      <c r="N63" t="s">
        <v>35</v>
      </c>
      <c r="O63" s="3">
        <v>46051</v>
      </c>
    </row>
    <row r="64" spans="1:15" x14ac:dyDescent="0.3">
      <c r="A64" s="2" t="s">
        <v>102</v>
      </c>
      <c r="B64">
        <v>50</v>
      </c>
      <c r="C64" t="s">
        <v>24</v>
      </c>
      <c r="D64" t="s">
        <v>31</v>
      </c>
      <c r="E64">
        <v>92035</v>
      </c>
      <c r="F64" t="s">
        <v>18</v>
      </c>
      <c r="G64">
        <v>9</v>
      </c>
      <c r="H64">
        <v>2350</v>
      </c>
      <c r="I64">
        <v>21150</v>
      </c>
      <c r="J64" t="s">
        <v>19</v>
      </c>
      <c r="K64" t="s">
        <v>20</v>
      </c>
      <c r="L64" t="s">
        <v>21</v>
      </c>
      <c r="M64" t="s">
        <v>22</v>
      </c>
      <c r="N64" t="s">
        <v>29</v>
      </c>
      <c r="O64" s="3">
        <v>46108</v>
      </c>
    </row>
    <row r="65" spans="1:15" x14ac:dyDescent="0.3">
      <c r="A65" s="2" t="s">
        <v>103</v>
      </c>
      <c r="B65">
        <v>51</v>
      </c>
      <c r="C65" t="s">
        <v>16</v>
      </c>
      <c r="D65" t="s">
        <v>31</v>
      </c>
      <c r="E65">
        <v>53370</v>
      </c>
      <c r="F65" t="s">
        <v>32</v>
      </c>
      <c r="G65">
        <v>10</v>
      </c>
      <c r="H65">
        <v>4029</v>
      </c>
      <c r="I65">
        <v>40290</v>
      </c>
      <c r="J65" t="s">
        <v>33</v>
      </c>
      <c r="K65" t="s">
        <v>34</v>
      </c>
      <c r="L65" t="s">
        <v>28</v>
      </c>
      <c r="M65" t="s">
        <v>35</v>
      </c>
      <c r="N65" t="s">
        <v>22</v>
      </c>
      <c r="O65" s="3">
        <v>46111</v>
      </c>
    </row>
    <row r="66" spans="1:15" x14ac:dyDescent="0.3">
      <c r="A66" s="2" t="s">
        <v>104</v>
      </c>
      <c r="B66">
        <v>32</v>
      </c>
      <c r="C66" t="s">
        <v>16</v>
      </c>
      <c r="D66" t="s">
        <v>25</v>
      </c>
      <c r="E66">
        <v>50257</v>
      </c>
      <c r="F66" t="s">
        <v>42</v>
      </c>
      <c r="G66">
        <v>1</v>
      </c>
      <c r="H66">
        <v>4005</v>
      </c>
      <c r="I66">
        <v>4005</v>
      </c>
      <c r="J66" t="s">
        <v>27</v>
      </c>
      <c r="K66" t="s">
        <v>20</v>
      </c>
      <c r="L66" t="s">
        <v>28</v>
      </c>
      <c r="M66" t="s">
        <v>35</v>
      </c>
      <c r="N66" t="s">
        <v>22</v>
      </c>
      <c r="O66" s="3">
        <v>46081</v>
      </c>
    </row>
    <row r="67" spans="1:15" x14ac:dyDescent="0.3">
      <c r="A67" s="2" t="s">
        <v>105</v>
      </c>
      <c r="B67">
        <v>38</v>
      </c>
      <c r="C67" t="s">
        <v>16</v>
      </c>
      <c r="D67" t="s">
        <v>25</v>
      </c>
      <c r="E67">
        <v>29041</v>
      </c>
      <c r="F67" t="s">
        <v>26</v>
      </c>
      <c r="G67">
        <v>7</v>
      </c>
      <c r="H67">
        <v>4544</v>
      </c>
      <c r="I67">
        <v>31808</v>
      </c>
      <c r="J67" t="s">
        <v>19</v>
      </c>
      <c r="K67" t="s">
        <v>20</v>
      </c>
      <c r="L67" t="s">
        <v>28</v>
      </c>
      <c r="M67" t="s">
        <v>22</v>
      </c>
      <c r="N67" t="s">
        <v>35</v>
      </c>
      <c r="O67" s="3">
        <v>46102</v>
      </c>
    </row>
    <row r="68" spans="1:15" x14ac:dyDescent="0.3">
      <c r="A68" s="2" t="s">
        <v>106</v>
      </c>
      <c r="B68">
        <v>33</v>
      </c>
      <c r="C68" t="s">
        <v>24</v>
      </c>
      <c r="D68" t="s">
        <v>37</v>
      </c>
      <c r="E68">
        <v>36981</v>
      </c>
      <c r="F68" t="s">
        <v>18</v>
      </c>
      <c r="G68">
        <v>4</v>
      </c>
      <c r="H68">
        <v>1463</v>
      </c>
      <c r="I68">
        <v>5852</v>
      </c>
      <c r="J68" t="s">
        <v>33</v>
      </c>
      <c r="K68" t="s">
        <v>20</v>
      </c>
      <c r="L68" t="s">
        <v>28</v>
      </c>
      <c r="M68" t="s">
        <v>35</v>
      </c>
      <c r="N68" t="s">
        <v>22</v>
      </c>
      <c r="O68" s="3">
        <v>46059</v>
      </c>
    </row>
    <row r="69" spans="1:15" x14ac:dyDescent="0.3">
      <c r="A69" s="2" t="s">
        <v>107</v>
      </c>
      <c r="B69">
        <v>28</v>
      </c>
      <c r="C69" t="s">
        <v>16</v>
      </c>
      <c r="D69" t="s">
        <v>17</v>
      </c>
      <c r="E69">
        <v>69372</v>
      </c>
      <c r="F69" t="s">
        <v>38</v>
      </c>
      <c r="G69">
        <v>8</v>
      </c>
      <c r="H69">
        <v>2856</v>
      </c>
      <c r="I69">
        <v>22848</v>
      </c>
      <c r="J69" t="s">
        <v>19</v>
      </c>
      <c r="K69" t="s">
        <v>20</v>
      </c>
      <c r="L69" t="s">
        <v>21</v>
      </c>
      <c r="M69" t="s">
        <v>35</v>
      </c>
      <c r="N69" t="s">
        <v>22</v>
      </c>
      <c r="O69" s="3">
        <v>46077</v>
      </c>
    </row>
    <row r="70" spans="1:15" x14ac:dyDescent="0.3">
      <c r="A70" s="2" t="s">
        <v>108</v>
      </c>
      <c r="B70">
        <v>30</v>
      </c>
      <c r="C70" t="s">
        <v>24</v>
      </c>
      <c r="D70" t="s">
        <v>44</v>
      </c>
      <c r="E70">
        <v>82273</v>
      </c>
      <c r="F70" t="s">
        <v>42</v>
      </c>
      <c r="G70">
        <v>10</v>
      </c>
      <c r="H70">
        <v>3124</v>
      </c>
      <c r="I70">
        <v>31240</v>
      </c>
      <c r="J70" t="s">
        <v>27</v>
      </c>
      <c r="K70" t="s">
        <v>20</v>
      </c>
      <c r="L70" t="s">
        <v>21</v>
      </c>
      <c r="M70" t="s">
        <v>29</v>
      </c>
      <c r="N70" t="s">
        <v>35</v>
      </c>
      <c r="O70" s="3">
        <v>46033</v>
      </c>
    </row>
    <row r="71" spans="1:15" x14ac:dyDescent="0.3">
      <c r="A71" s="2" t="s">
        <v>109</v>
      </c>
      <c r="B71">
        <v>36</v>
      </c>
      <c r="C71" t="s">
        <v>16</v>
      </c>
      <c r="D71" t="s">
        <v>41</v>
      </c>
      <c r="E71">
        <v>40832</v>
      </c>
      <c r="F71" t="s">
        <v>42</v>
      </c>
      <c r="G71">
        <v>12</v>
      </c>
      <c r="H71">
        <v>3378</v>
      </c>
      <c r="I71">
        <v>40536</v>
      </c>
      <c r="J71" t="s">
        <v>27</v>
      </c>
      <c r="K71" t="s">
        <v>34</v>
      </c>
      <c r="L71" t="s">
        <v>21</v>
      </c>
      <c r="M71" t="s">
        <v>29</v>
      </c>
      <c r="N71" t="s">
        <v>22</v>
      </c>
      <c r="O71" s="3">
        <v>46095</v>
      </c>
    </row>
    <row r="72" spans="1:15" x14ac:dyDescent="0.3">
      <c r="A72" s="2" t="s">
        <v>110</v>
      </c>
      <c r="B72">
        <v>58</v>
      </c>
      <c r="C72" t="s">
        <v>24</v>
      </c>
      <c r="D72" t="s">
        <v>37</v>
      </c>
      <c r="E72">
        <v>42893</v>
      </c>
      <c r="F72" t="s">
        <v>18</v>
      </c>
      <c r="G72">
        <v>2</v>
      </c>
      <c r="H72">
        <v>2380</v>
      </c>
      <c r="I72">
        <v>4760</v>
      </c>
      <c r="J72" t="s">
        <v>39</v>
      </c>
      <c r="K72" t="s">
        <v>20</v>
      </c>
      <c r="L72" t="s">
        <v>28</v>
      </c>
      <c r="M72" t="s">
        <v>29</v>
      </c>
      <c r="N72" t="s">
        <v>35</v>
      </c>
      <c r="O72" s="3">
        <v>46031</v>
      </c>
    </row>
    <row r="73" spans="1:15" x14ac:dyDescent="0.3">
      <c r="A73" s="2" t="s">
        <v>111</v>
      </c>
      <c r="B73">
        <v>34</v>
      </c>
      <c r="C73" t="s">
        <v>24</v>
      </c>
      <c r="D73" t="s">
        <v>17</v>
      </c>
      <c r="E73">
        <v>28526</v>
      </c>
      <c r="F73" t="s">
        <v>38</v>
      </c>
      <c r="G73">
        <v>2</v>
      </c>
      <c r="H73">
        <v>2054</v>
      </c>
      <c r="I73">
        <v>4108</v>
      </c>
      <c r="J73" t="s">
        <v>33</v>
      </c>
      <c r="K73" t="s">
        <v>20</v>
      </c>
      <c r="L73" t="s">
        <v>21</v>
      </c>
      <c r="M73" t="s">
        <v>22</v>
      </c>
      <c r="N73" t="s">
        <v>35</v>
      </c>
      <c r="O73" s="3">
        <v>46110</v>
      </c>
    </row>
    <row r="74" spans="1:15" x14ac:dyDescent="0.3">
      <c r="A74" s="2" t="s">
        <v>112</v>
      </c>
      <c r="B74">
        <v>38</v>
      </c>
      <c r="C74" t="s">
        <v>24</v>
      </c>
      <c r="D74" t="s">
        <v>41</v>
      </c>
      <c r="E74">
        <v>84687</v>
      </c>
      <c r="F74" t="s">
        <v>18</v>
      </c>
      <c r="G74">
        <v>12</v>
      </c>
      <c r="H74">
        <v>4075</v>
      </c>
      <c r="I74">
        <v>48900</v>
      </c>
      <c r="J74" t="s">
        <v>19</v>
      </c>
      <c r="K74" t="s">
        <v>34</v>
      </c>
      <c r="L74" t="s">
        <v>21</v>
      </c>
      <c r="M74" t="s">
        <v>29</v>
      </c>
      <c r="N74" t="s">
        <v>22</v>
      </c>
      <c r="O74" s="3">
        <v>46054</v>
      </c>
    </row>
    <row r="75" spans="1:15" x14ac:dyDescent="0.3">
      <c r="A75" s="2" t="s">
        <v>113</v>
      </c>
      <c r="B75">
        <v>37</v>
      </c>
      <c r="C75" t="s">
        <v>24</v>
      </c>
      <c r="D75" t="s">
        <v>17</v>
      </c>
      <c r="E75">
        <v>44646</v>
      </c>
      <c r="F75" t="s">
        <v>18</v>
      </c>
      <c r="G75">
        <v>12</v>
      </c>
      <c r="H75">
        <v>2321</v>
      </c>
      <c r="I75">
        <v>27852</v>
      </c>
      <c r="J75" t="s">
        <v>39</v>
      </c>
      <c r="K75" t="s">
        <v>20</v>
      </c>
      <c r="L75" t="s">
        <v>28</v>
      </c>
      <c r="M75" t="s">
        <v>22</v>
      </c>
      <c r="N75" t="s">
        <v>22</v>
      </c>
      <c r="O75" s="3">
        <v>46048</v>
      </c>
    </row>
    <row r="76" spans="1:15" x14ac:dyDescent="0.3">
      <c r="A76" s="2" t="s">
        <v>114</v>
      </c>
      <c r="B76">
        <v>42</v>
      </c>
      <c r="C76" t="s">
        <v>16</v>
      </c>
      <c r="D76" t="s">
        <v>31</v>
      </c>
      <c r="E76">
        <v>84925</v>
      </c>
      <c r="F76" t="s">
        <v>38</v>
      </c>
      <c r="G76">
        <v>9</v>
      </c>
      <c r="H76">
        <v>941</v>
      </c>
      <c r="I76">
        <v>8469</v>
      </c>
      <c r="J76" t="s">
        <v>39</v>
      </c>
      <c r="K76" t="s">
        <v>20</v>
      </c>
      <c r="L76" t="s">
        <v>28</v>
      </c>
      <c r="M76" t="s">
        <v>35</v>
      </c>
      <c r="N76" t="s">
        <v>22</v>
      </c>
      <c r="O76" s="3">
        <v>46032</v>
      </c>
    </row>
    <row r="77" spans="1:15" x14ac:dyDescent="0.3">
      <c r="A77" s="2" t="s">
        <v>115</v>
      </c>
      <c r="B77">
        <v>55</v>
      </c>
      <c r="C77" t="s">
        <v>24</v>
      </c>
      <c r="D77" t="s">
        <v>31</v>
      </c>
      <c r="E77">
        <v>36675</v>
      </c>
      <c r="F77" t="s">
        <v>18</v>
      </c>
      <c r="G77">
        <v>1</v>
      </c>
      <c r="H77">
        <v>2705</v>
      </c>
      <c r="I77">
        <v>2705</v>
      </c>
      <c r="J77" t="s">
        <v>19</v>
      </c>
      <c r="K77" t="s">
        <v>20</v>
      </c>
      <c r="L77" t="s">
        <v>28</v>
      </c>
      <c r="M77" t="s">
        <v>22</v>
      </c>
      <c r="N77" t="s">
        <v>35</v>
      </c>
      <c r="O77" s="3">
        <v>46078</v>
      </c>
    </row>
    <row r="78" spans="1:15" x14ac:dyDescent="0.3">
      <c r="A78" s="2" t="s">
        <v>116</v>
      </c>
      <c r="B78">
        <v>36</v>
      </c>
      <c r="C78" t="s">
        <v>24</v>
      </c>
      <c r="D78" t="s">
        <v>17</v>
      </c>
      <c r="E78">
        <v>59800</v>
      </c>
      <c r="F78" t="s">
        <v>18</v>
      </c>
      <c r="G78">
        <v>3</v>
      </c>
      <c r="H78">
        <v>1287</v>
      </c>
      <c r="I78">
        <v>3861</v>
      </c>
      <c r="J78" t="s">
        <v>39</v>
      </c>
      <c r="K78" t="s">
        <v>34</v>
      </c>
      <c r="L78" t="s">
        <v>21</v>
      </c>
      <c r="M78" t="s">
        <v>29</v>
      </c>
      <c r="N78" t="s">
        <v>22</v>
      </c>
      <c r="O78" s="3">
        <v>46054</v>
      </c>
    </row>
    <row r="79" spans="1:15" x14ac:dyDescent="0.3">
      <c r="A79" s="2" t="s">
        <v>117</v>
      </c>
      <c r="B79">
        <v>29</v>
      </c>
      <c r="C79" t="s">
        <v>16</v>
      </c>
      <c r="D79" t="s">
        <v>37</v>
      </c>
      <c r="E79">
        <v>35331</v>
      </c>
      <c r="F79" t="s">
        <v>38</v>
      </c>
      <c r="G79">
        <v>4</v>
      </c>
      <c r="H79">
        <v>2805</v>
      </c>
      <c r="I79">
        <v>11220</v>
      </c>
      <c r="J79" t="s">
        <v>19</v>
      </c>
      <c r="K79" t="s">
        <v>34</v>
      </c>
      <c r="L79" t="s">
        <v>28</v>
      </c>
      <c r="M79" t="s">
        <v>29</v>
      </c>
      <c r="N79" t="s">
        <v>22</v>
      </c>
      <c r="O79" s="3">
        <v>46067</v>
      </c>
    </row>
    <row r="80" spans="1:15" x14ac:dyDescent="0.3">
      <c r="A80" s="2" t="s">
        <v>118</v>
      </c>
      <c r="B80">
        <v>33</v>
      </c>
      <c r="C80" t="s">
        <v>16</v>
      </c>
      <c r="D80" t="s">
        <v>41</v>
      </c>
      <c r="E80">
        <v>88305</v>
      </c>
      <c r="F80" t="s">
        <v>18</v>
      </c>
      <c r="G80">
        <v>4</v>
      </c>
      <c r="H80">
        <v>981</v>
      </c>
      <c r="I80">
        <v>3924</v>
      </c>
      <c r="J80" t="s">
        <v>19</v>
      </c>
      <c r="K80" t="s">
        <v>20</v>
      </c>
      <c r="L80" t="s">
        <v>28</v>
      </c>
      <c r="M80" t="s">
        <v>35</v>
      </c>
      <c r="N80" t="s">
        <v>35</v>
      </c>
      <c r="O80" s="3">
        <v>46105</v>
      </c>
    </row>
    <row r="81" spans="1:15" x14ac:dyDescent="0.3">
      <c r="A81" s="2" t="s">
        <v>119</v>
      </c>
      <c r="B81">
        <v>54</v>
      </c>
      <c r="C81" t="s">
        <v>24</v>
      </c>
      <c r="D81" t="s">
        <v>17</v>
      </c>
      <c r="E81">
        <v>36873</v>
      </c>
      <c r="F81" t="s">
        <v>42</v>
      </c>
      <c r="G81">
        <v>2</v>
      </c>
      <c r="H81">
        <v>2126</v>
      </c>
      <c r="I81">
        <v>4252</v>
      </c>
      <c r="J81" t="s">
        <v>33</v>
      </c>
      <c r="K81" t="s">
        <v>34</v>
      </c>
      <c r="L81" t="s">
        <v>21</v>
      </c>
      <c r="M81" t="s">
        <v>22</v>
      </c>
      <c r="N81" t="s">
        <v>29</v>
      </c>
      <c r="O81" s="3">
        <v>46087</v>
      </c>
    </row>
    <row r="82" spans="1:15" x14ac:dyDescent="0.3">
      <c r="A82" s="2" t="s">
        <v>120</v>
      </c>
      <c r="B82">
        <v>26</v>
      </c>
      <c r="C82" t="s">
        <v>16</v>
      </c>
      <c r="D82" t="s">
        <v>41</v>
      </c>
      <c r="E82">
        <v>39494</v>
      </c>
      <c r="F82" t="s">
        <v>18</v>
      </c>
      <c r="G82">
        <v>6</v>
      </c>
      <c r="H82">
        <v>3046</v>
      </c>
      <c r="I82">
        <v>18276</v>
      </c>
      <c r="J82" t="s">
        <v>33</v>
      </c>
      <c r="K82" t="s">
        <v>34</v>
      </c>
      <c r="L82" t="s">
        <v>28</v>
      </c>
      <c r="M82" t="s">
        <v>29</v>
      </c>
      <c r="N82" t="s">
        <v>35</v>
      </c>
      <c r="O82" s="3">
        <v>46098</v>
      </c>
    </row>
    <row r="83" spans="1:15" x14ac:dyDescent="0.3">
      <c r="A83" s="2" t="s">
        <v>121</v>
      </c>
      <c r="B83">
        <v>41</v>
      </c>
      <c r="C83" t="s">
        <v>16</v>
      </c>
      <c r="D83" t="s">
        <v>25</v>
      </c>
      <c r="E83">
        <v>54554</v>
      </c>
      <c r="F83" t="s">
        <v>32</v>
      </c>
      <c r="G83">
        <v>2</v>
      </c>
      <c r="H83">
        <v>4328</v>
      </c>
      <c r="I83">
        <v>8656</v>
      </c>
      <c r="J83" t="s">
        <v>19</v>
      </c>
      <c r="K83" t="s">
        <v>34</v>
      </c>
      <c r="L83" t="s">
        <v>28</v>
      </c>
      <c r="M83" t="s">
        <v>22</v>
      </c>
      <c r="N83" t="s">
        <v>22</v>
      </c>
      <c r="O83" s="3">
        <v>46038</v>
      </c>
    </row>
    <row r="84" spans="1:15" x14ac:dyDescent="0.3">
      <c r="A84" s="2" t="s">
        <v>122</v>
      </c>
      <c r="B84">
        <v>34</v>
      </c>
      <c r="C84" t="s">
        <v>16</v>
      </c>
      <c r="D84" t="s">
        <v>31</v>
      </c>
      <c r="E84">
        <v>85019</v>
      </c>
      <c r="F84" t="s">
        <v>42</v>
      </c>
      <c r="G84">
        <v>11</v>
      </c>
      <c r="H84">
        <v>4643</v>
      </c>
      <c r="I84">
        <v>51073</v>
      </c>
      <c r="J84" t="s">
        <v>27</v>
      </c>
      <c r="K84" t="s">
        <v>34</v>
      </c>
      <c r="L84" t="s">
        <v>21</v>
      </c>
      <c r="M84" t="s">
        <v>29</v>
      </c>
      <c r="N84" t="s">
        <v>35</v>
      </c>
      <c r="O84" s="3">
        <v>46102</v>
      </c>
    </row>
    <row r="85" spans="1:15" x14ac:dyDescent="0.3">
      <c r="A85" s="2" t="s">
        <v>123</v>
      </c>
      <c r="B85">
        <v>38</v>
      </c>
      <c r="C85" t="s">
        <v>16</v>
      </c>
      <c r="D85" t="s">
        <v>37</v>
      </c>
      <c r="E85">
        <v>47328</v>
      </c>
      <c r="F85" t="s">
        <v>32</v>
      </c>
      <c r="G85">
        <v>9</v>
      </c>
      <c r="H85">
        <v>4194</v>
      </c>
      <c r="I85">
        <v>37746</v>
      </c>
      <c r="J85" t="s">
        <v>27</v>
      </c>
      <c r="K85" t="s">
        <v>20</v>
      </c>
      <c r="L85" t="s">
        <v>21</v>
      </c>
      <c r="M85" t="s">
        <v>35</v>
      </c>
      <c r="N85" t="s">
        <v>22</v>
      </c>
      <c r="O85" s="3">
        <v>46024</v>
      </c>
    </row>
    <row r="86" spans="1:15" x14ac:dyDescent="0.3">
      <c r="A86" s="2" t="s">
        <v>124</v>
      </c>
      <c r="B86">
        <v>44</v>
      </c>
      <c r="C86" t="s">
        <v>24</v>
      </c>
      <c r="D86" t="s">
        <v>25</v>
      </c>
      <c r="E86">
        <v>70223</v>
      </c>
      <c r="F86" t="s">
        <v>38</v>
      </c>
      <c r="G86">
        <v>10</v>
      </c>
      <c r="H86">
        <v>3845</v>
      </c>
      <c r="I86">
        <v>38450</v>
      </c>
      <c r="J86" t="s">
        <v>33</v>
      </c>
      <c r="K86" t="s">
        <v>34</v>
      </c>
      <c r="L86" t="s">
        <v>21</v>
      </c>
      <c r="M86" t="s">
        <v>35</v>
      </c>
      <c r="N86" t="s">
        <v>35</v>
      </c>
      <c r="O86" s="3">
        <v>46081</v>
      </c>
    </row>
    <row r="87" spans="1:15" x14ac:dyDescent="0.3">
      <c r="A87" s="2" t="s">
        <v>125</v>
      </c>
      <c r="B87">
        <v>59</v>
      </c>
      <c r="C87" t="s">
        <v>24</v>
      </c>
      <c r="D87" t="s">
        <v>25</v>
      </c>
      <c r="E87">
        <v>33996</v>
      </c>
      <c r="F87" t="s">
        <v>18</v>
      </c>
      <c r="G87">
        <v>10</v>
      </c>
      <c r="H87">
        <v>4777</v>
      </c>
      <c r="I87">
        <v>47770</v>
      </c>
      <c r="J87" t="s">
        <v>39</v>
      </c>
      <c r="K87" t="s">
        <v>34</v>
      </c>
      <c r="L87" t="s">
        <v>28</v>
      </c>
      <c r="M87" t="s">
        <v>22</v>
      </c>
      <c r="N87" t="s">
        <v>35</v>
      </c>
      <c r="O87" s="3">
        <v>46096</v>
      </c>
    </row>
    <row r="88" spans="1:15" x14ac:dyDescent="0.3">
      <c r="A88" s="2" t="s">
        <v>126</v>
      </c>
      <c r="B88">
        <v>40</v>
      </c>
      <c r="C88" t="s">
        <v>16</v>
      </c>
      <c r="D88" t="s">
        <v>44</v>
      </c>
      <c r="E88">
        <v>56960</v>
      </c>
      <c r="F88" t="s">
        <v>26</v>
      </c>
      <c r="G88">
        <v>8</v>
      </c>
      <c r="H88">
        <v>1652</v>
      </c>
      <c r="I88">
        <v>13216</v>
      </c>
      <c r="J88" t="s">
        <v>27</v>
      </c>
      <c r="K88" t="s">
        <v>20</v>
      </c>
      <c r="L88" t="s">
        <v>21</v>
      </c>
      <c r="M88" t="s">
        <v>22</v>
      </c>
      <c r="N88" t="s">
        <v>29</v>
      </c>
      <c r="O88" s="3">
        <v>46066</v>
      </c>
    </row>
    <row r="89" spans="1:15" x14ac:dyDescent="0.3">
      <c r="A89" s="2" t="s">
        <v>127</v>
      </c>
      <c r="B89">
        <v>57</v>
      </c>
      <c r="C89" t="s">
        <v>24</v>
      </c>
      <c r="D89" t="s">
        <v>17</v>
      </c>
      <c r="E89">
        <v>33387</v>
      </c>
      <c r="F89" t="s">
        <v>18</v>
      </c>
      <c r="G89">
        <v>4</v>
      </c>
      <c r="H89">
        <v>3492</v>
      </c>
      <c r="I89">
        <v>13968</v>
      </c>
      <c r="J89" t="s">
        <v>33</v>
      </c>
      <c r="K89" t="s">
        <v>34</v>
      </c>
      <c r="L89" t="s">
        <v>28</v>
      </c>
      <c r="M89" t="s">
        <v>29</v>
      </c>
      <c r="N89" t="s">
        <v>35</v>
      </c>
      <c r="O89" s="3">
        <v>46055</v>
      </c>
    </row>
    <row r="90" spans="1:15" x14ac:dyDescent="0.3">
      <c r="A90" s="2" t="s">
        <v>128</v>
      </c>
      <c r="B90">
        <v>25</v>
      </c>
      <c r="C90" t="s">
        <v>24</v>
      </c>
      <c r="D90" t="s">
        <v>37</v>
      </c>
      <c r="E90">
        <v>62134</v>
      </c>
      <c r="F90" t="s">
        <v>38</v>
      </c>
      <c r="G90">
        <v>4</v>
      </c>
      <c r="H90">
        <v>4278</v>
      </c>
      <c r="I90">
        <v>17112</v>
      </c>
      <c r="J90" t="s">
        <v>33</v>
      </c>
      <c r="K90" t="s">
        <v>20</v>
      </c>
      <c r="L90" t="s">
        <v>28</v>
      </c>
      <c r="M90" t="s">
        <v>35</v>
      </c>
      <c r="N90" t="s">
        <v>29</v>
      </c>
      <c r="O90" s="3">
        <v>46035</v>
      </c>
    </row>
    <row r="91" spans="1:15" x14ac:dyDescent="0.3">
      <c r="A91" s="2" t="s">
        <v>129</v>
      </c>
      <c r="B91">
        <v>60</v>
      </c>
      <c r="C91" t="s">
        <v>24</v>
      </c>
      <c r="D91" t="s">
        <v>44</v>
      </c>
      <c r="E91">
        <v>35898</v>
      </c>
      <c r="F91" t="s">
        <v>32</v>
      </c>
      <c r="G91">
        <v>1</v>
      </c>
      <c r="H91">
        <v>2475</v>
      </c>
      <c r="I91">
        <v>2475</v>
      </c>
      <c r="J91" t="s">
        <v>33</v>
      </c>
      <c r="K91" t="s">
        <v>34</v>
      </c>
      <c r="L91" t="s">
        <v>21</v>
      </c>
      <c r="M91" t="s">
        <v>22</v>
      </c>
      <c r="N91" t="s">
        <v>22</v>
      </c>
      <c r="O91" s="3">
        <v>46097</v>
      </c>
    </row>
    <row r="92" spans="1:15" x14ac:dyDescent="0.3">
      <c r="A92" s="2" t="s">
        <v>130</v>
      </c>
      <c r="B92">
        <v>23</v>
      </c>
      <c r="C92" t="s">
        <v>16</v>
      </c>
      <c r="D92" t="s">
        <v>37</v>
      </c>
      <c r="E92">
        <v>63182</v>
      </c>
      <c r="F92" t="s">
        <v>38</v>
      </c>
      <c r="G92">
        <v>1</v>
      </c>
      <c r="H92">
        <v>3429</v>
      </c>
      <c r="I92">
        <v>3429</v>
      </c>
      <c r="J92" t="s">
        <v>19</v>
      </c>
      <c r="K92" t="s">
        <v>34</v>
      </c>
      <c r="L92" t="s">
        <v>21</v>
      </c>
      <c r="M92" t="s">
        <v>22</v>
      </c>
      <c r="N92" t="s">
        <v>22</v>
      </c>
      <c r="O92" s="3">
        <v>46099</v>
      </c>
    </row>
    <row r="93" spans="1:15" x14ac:dyDescent="0.3">
      <c r="A93" s="2" t="s">
        <v>131</v>
      </c>
      <c r="B93">
        <v>33</v>
      </c>
      <c r="C93" t="s">
        <v>16</v>
      </c>
      <c r="D93" t="s">
        <v>25</v>
      </c>
      <c r="E93">
        <v>46813</v>
      </c>
      <c r="F93" t="s">
        <v>18</v>
      </c>
      <c r="G93">
        <v>6</v>
      </c>
      <c r="H93">
        <v>3547</v>
      </c>
      <c r="I93">
        <v>21282</v>
      </c>
      <c r="J93" t="s">
        <v>27</v>
      </c>
      <c r="K93" t="s">
        <v>20</v>
      </c>
      <c r="L93" t="s">
        <v>28</v>
      </c>
      <c r="M93" t="s">
        <v>35</v>
      </c>
      <c r="N93" t="s">
        <v>35</v>
      </c>
      <c r="O93" s="3">
        <v>46063</v>
      </c>
    </row>
    <row r="94" spans="1:15" x14ac:dyDescent="0.3">
      <c r="A94" s="2" t="s">
        <v>132</v>
      </c>
      <c r="B94">
        <v>41</v>
      </c>
      <c r="C94" t="s">
        <v>16</v>
      </c>
      <c r="D94" t="s">
        <v>44</v>
      </c>
      <c r="E94">
        <v>80551</v>
      </c>
      <c r="F94" t="s">
        <v>32</v>
      </c>
      <c r="G94">
        <v>12</v>
      </c>
      <c r="H94">
        <v>3167</v>
      </c>
      <c r="I94">
        <v>38004</v>
      </c>
      <c r="J94" t="s">
        <v>33</v>
      </c>
      <c r="K94" t="s">
        <v>34</v>
      </c>
      <c r="L94" t="s">
        <v>28</v>
      </c>
      <c r="M94" t="s">
        <v>29</v>
      </c>
      <c r="N94" t="s">
        <v>29</v>
      </c>
      <c r="O94" s="3">
        <v>46077</v>
      </c>
    </row>
    <row r="95" spans="1:15" x14ac:dyDescent="0.3">
      <c r="A95" s="2" t="s">
        <v>133</v>
      </c>
      <c r="B95">
        <v>35</v>
      </c>
      <c r="C95" t="s">
        <v>16</v>
      </c>
      <c r="D95" t="s">
        <v>31</v>
      </c>
      <c r="E95">
        <v>35300</v>
      </c>
      <c r="F95" t="s">
        <v>26</v>
      </c>
      <c r="G95">
        <v>3</v>
      </c>
      <c r="H95">
        <v>3583</v>
      </c>
      <c r="I95">
        <v>10749</v>
      </c>
      <c r="J95" t="s">
        <v>39</v>
      </c>
      <c r="K95" t="s">
        <v>20</v>
      </c>
      <c r="L95" t="s">
        <v>28</v>
      </c>
      <c r="M95" t="s">
        <v>22</v>
      </c>
      <c r="N95" t="s">
        <v>35</v>
      </c>
      <c r="O95" s="3">
        <v>46104</v>
      </c>
    </row>
    <row r="96" spans="1:15" x14ac:dyDescent="0.3">
      <c r="A96" s="2" t="s">
        <v>134</v>
      </c>
      <c r="B96">
        <v>26</v>
      </c>
      <c r="C96" t="s">
        <v>16</v>
      </c>
      <c r="D96" t="s">
        <v>41</v>
      </c>
      <c r="E96">
        <v>34074</v>
      </c>
      <c r="F96" t="s">
        <v>18</v>
      </c>
      <c r="G96">
        <v>2</v>
      </c>
      <c r="H96">
        <v>2791</v>
      </c>
      <c r="I96">
        <v>5582</v>
      </c>
      <c r="J96" t="s">
        <v>39</v>
      </c>
      <c r="K96" t="s">
        <v>20</v>
      </c>
      <c r="L96" t="s">
        <v>28</v>
      </c>
      <c r="M96" t="s">
        <v>29</v>
      </c>
      <c r="N96" t="s">
        <v>35</v>
      </c>
      <c r="O96" s="3">
        <v>46030</v>
      </c>
    </row>
    <row r="97" spans="1:15" x14ac:dyDescent="0.3">
      <c r="A97" s="2" t="s">
        <v>135</v>
      </c>
      <c r="B97">
        <v>45</v>
      </c>
      <c r="C97" t="s">
        <v>16</v>
      </c>
      <c r="D97" t="s">
        <v>41</v>
      </c>
      <c r="E97">
        <v>43054</v>
      </c>
      <c r="F97" t="s">
        <v>18</v>
      </c>
      <c r="G97">
        <v>12</v>
      </c>
      <c r="H97">
        <v>4248</v>
      </c>
      <c r="I97">
        <v>50976</v>
      </c>
      <c r="J97" t="s">
        <v>19</v>
      </c>
      <c r="K97" t="s">
        <v>34</v>
      </c>
      <c r="L97" t="s">
        <v>28</v>
      </c>
      <c r="M97" t="s">
        <v>22</v>
      </c>
      <c r="N97" t="s">
        <v>29</v>
      </c>
      <c r="O97" s="3">
        <v>46025</v>
      </c>
    </row>
    <row r="98" spans="1:15" x14ac:dyDescent="0.3">
      <c r="A98" s="2" t="s">
        <v>136</v>
      </c>
      <c r="B98">
        <v>56</v>
      </c>
      <c r="C98" t="s">
        <v>16</v>
      </c>
      <c r="D98" t="s">
        <v>17</v>
      </c>
      <c r="E98">
        <v>59182</v>
      </c>
      <c r="F98" t="s">
        <v>42</v>
      </c>
      <c r="G98">
        <v>8</v>
      </c>
      <c r="H98">
        <v>1922</v>
      </c>
      <c r="I98">
        <v>15376</v>
      </c>
      <c r="J98" t="s">
        <v>33</v>
      </c>
      <c r="K98" t="s">
        <v>34</v>
      </c>
      <c r="L98" t="s">
        <v>28</v>
      </c>
      <c r="M98" t="s">
        <v>29</v>
      </c>
      <c r="N98" t="s">
        <v>29</v>
      </c>
      <c r="O98" s="3">
        <v>46110</v>
      </c>
    </row>
    <row r="99" spans="1:15" x14ac:dyDescent="0.3">
      <c r="A99" s="2" t="s">
        <v>137</v>
      </c>
      <c r="B99">
        <v>37</v>
      </c>
      <c r="C99" t="s">
        <v>24</v>
      </c>
      <c r="D99" t="s">
        <v>17</v>
      </c>
      <c r="E99">
        <v>88367</v>
      </c>
      <c r="F99" t="s">
        <v>18</v>
      </c>
      <c r="G99">
        <v>2</v>
      </c>
      <c r="H99">
        <v>1980</v>
      </c>
      <c r="I99">
        <v>3960</v>
      </c>
      <c r="J99" t="s">
        <v>27</v>
      </c>
      <c r="K99" t="s">
        <v>34</v>
      </c>
      <c r="L99" t="s">
        <v>28</v>
      </c>
      <c r="M99" t="s">
        <v>29</v>
      </c>
      <c r="N99" t="s">
        <v>35</v>
      </c>
      <c r="O99" s="3">
        <v>46052</v>
      </c>
    </row>
    <row r="100" spans="1:15" x14ac:dyDescent="0.3">
      <c r="A100" s="2" t="s">
        <v>138</v>
      </c>
      <c r="B100">
        <v>26</v>
      </c>
      <c r="C100" t="s">
        <v>16</v>
      </c>
      <c r="D100" t="s">
        <v>31</v>
      </c>
      <c r="E100">
        <v>27370</v>
      </c>
      <c r="F100" t="s">
        <v>38</v>
      </c>
      <c r="G100">
        <v>4</v>
      </c>
      <c r="H100">
        <v>4462</v>
      </c>
      <c r="I100">
        <v>17848</v>
      </c>
      <c r="J100" t="s">
        <v>33</v>
      </c>
      <c r="K100" t="s">
        <v>20</v>
      </c>
      <c r="L100" t="s">
        <v>28</v>
      </c>
      <c r="M100" t="s">
        <v>35</v>
      </c>
      <c r="N100" t="s">
        <v>29</v>
      </c>
      <c r="O100" s="3">
        <v>46112</v>
      </c>
    </row>
    <row r="101" spans="1:15" x14ac:dyDescent="0.3">
      <c r="A101" s="2" t="s">
        <v>139</v>
      </c>
      <c r="B101">
        <v>22</v>
      </c>
      <c r="C101" t="s">
        <v>16</v>
      </c>
      <c r="D101" t="s">
        <v>25</v>
      </c>
      <c r="E101">
        <v>52941</v>
      </c>
      <c r="F101" t="s">
        <v>18</v>
      </c>
      <c r="G101">
        <v>3</v>
      </c>
      <c r="H101">
        <v>4684</v>
      </c>
      <c r="I101">
        <v>14052</v>
      </c>
      <c r="J101" t="s">
        <v>39</v>
      </c>
      <c r="K101" t="s">
        <v>20</v>
      </c>
      <c r="L101" t="s">
        <v>28</v>
      </c>
      <c r="M101" t="s">
        <v>22</v>
      </c>
      <c r="N101" t="s">
        <v>35</v>
      </c>
      <c r="O101" s="3">
        <v>46040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56A0-598C-45CF-A6D6-72A6A700651A}">
  <dimension ref="A1:O101"/>
  <sheetViews>
    <sheetView topLeftCell="A70" workbookViewId="0">
      <selection sqref="A1:O101"/>
    </sheetView>
  </sheetViews>
  <sheetFormatPr defaultColWidth="31.88671875" defaultRowHeight="14.4" x14ac:dyDescent="0.3"/>
  <cols>
    <col min="1" max="1" width="13.109375" customWidth="1"/>
    <col min="2" max="2" width="5.88671875" customWidth="1"/>
    <col min="3" max="3" width="9" customWidth="1"/>
    <col min="4" max="4" width="9.77734375" bestFit="1" customWidth="1"/>
    <col min="5" max="5" width="9.109375" customWidth="1"/>
    <col min="6" max="6" width="12.5546875" customWidth="1"/>
    <col min="7" max="7" width="17.88671875" bestFit="1" customWidth="1"/>
    <col min="8" max="8" width="15.88671875" customWidth="1"/>
    <col min="9" max="9" width="15.109375" customWidth="1"/>
    <col min="10" max="10" width="10.21875" customWidth="1"/>
    <col min="11" max="11" width="9.6640625" customWidth="1"/>
    <col min="12" max="12" width="8.6640625" bestFit="1" customWidth="1"/>
    <col min="13" max="13" width="13" customWidth="1"/>
    <col min="14" max="14" width="19.33203125" customWidth="1"/>
    <col min="15" max="15" width="14.33203125" customWidth="1"/>
  </cols>
  <sheetData>
    <row r="1" spans="1:15"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8" t="s">
        <v>14</v>
      </c>
    </row>
    <row r="2" spans="1:15" x14ac:dyDescent="0.3">
      <c r="A2" s="9" t="s">
        <v>15</v>
      </c>
      <c r="B2" s="10">
        <v>25</v>
      </c>
      <c r="C2" s="11" t="s">
        <v>16</v>
      </c>
      <c r="D2" s="11" t="s">
        <v>17</v>
      </c>
      <c r="E2" s="10">
        <v>30000</v>
      </c>
      <c r="F2" s="11" t="s">
        <v>18</v>
      </c>
      <c r="G2" s="10">
        <v>5</v>
      </c>
      <c r="H2" s="10">
        <v>1200</v>
      </c>
      <c r="I2" s="10">
        <v>6000</v>
      </c>
      <c r="J2" s="11" t="s">
        <v>19</v>
      </c>
      <c r="K2" s="11" t="s">
        <v>20</v>
      </c>
      <c r="L2" s="11" t="s">
        <v>21</v>
      </c>
      <c r="M2" s="11" t="s">
        <v>22</v>
      </c>
      <c r="N2" s="11" t="s">
        <v>22</v>
      </c>
      <c r="O2" s="20">
        <v>46082</v>
      </c>
    </row>
    <row r="3" spans="1:15" x14ac:dyDescent="0.3">
      <c r="A3" s="9" t="s">
        <v>23</v>
      </c>
      <c r="B3" s="10">
        <v>32</v>
      </c>
      <c r="C3" s="11" t="s">
        <v>24</v>
      </c>
      <c r="D3" s="11" t="s">
        <v>25</v>
      </c>
      <c r="E3" s="10">
        <v>60000</v>
      </c>
      <c r="F3" s="11" t="s">
        <v>26</v>
      </c>
      <c r="G3" s="10">
        <v>8</v>
      </c>
      <c r="H3" s="10">
        <v>2500</v>
      </c>
      <c r="I3" s="10">
        <v>20000</v>
      </c>
      <c r="J3" s="11" t="s">
        <v>27</v>
      </c>
      <c r="K3" s="11" t="s">
        <v>20</v>
      </c>
      <c r="L3" s="11" t="s">
        <v>28</v>
      </c>
      <c r="M3" s="11" t="s">
        <v>29</v>
      </c>
      <c r="N3" s="11" t="s">
        <v>29</v>
      </c>
      <c r="O3" s="20">
        <v>46096</v>
      </c>
    </row>
    <row r="4" spans="1:15" x14ac:dyDescent="0.3">
      <c r="A4" s="9" t="s">
        <v>30</v>
      </c>
      <c r="B4" s="10">
        <v>45</v>
      </c>
      <c r="C4" s="11" t="s">
        <v>16</v>
      </c>
      <c r="D4" s="11" t="s">
        <v>31</v>
      </c>
      <c r="E4" s="10">
        <v>90000</v>
      </c>
      <c r="F4" s="11" t="s">
        <v>32</v>
      </c>
      <c r="G4" s="10">
        <v>3</v>
      </c>
      <c r="H4" s="10">
        <v>5000</v>
      </c>
      <c r="I4" s="10">
        <v>15000</v>
      </c>
      <c r="J4" s="11" t="s">
        <v>33</v>
      </c>
      <c r="K4" s="11" t="s">
        <v>34</v>
      </c>
      <c r="L4" s="11" t="s">
        <v>28</v>
      </c>
      <c r="M4" s="11" t="s">
        <v>35</v>
      </c>
      <c r="N4" s="11" t="s">
        <v>35</v>
      </c>
      <c r="O4" s="20">
        <v>46073</v>
      </c>
    </row>
    <row r="5" spans="1:15" x14ac:dyDescent="0.3">
      <c r="A5" s="9" t="s">
        <v>36</v>
      </c>
      <c r="B5" s="10">
        <v>29</v>
      </c>
      <c r="C5" s="11" t="s">
        <v>24</v>
      </c>
      <c r="D5" s="11" t="s">
        <v>37</v>
      </c>
      <c r="E5" s="10">
        <v>40000</v>
      </c>
      <c r="F5" s="11" t="s">
        <v>38</v>
      </c>
      <c r="G5" s="10">
        <v>6</v>
      </c>
      <c r="H5" s="10">
        <v>1800</v>
      </c>
      <c r="I5" s="10">
        <v>10800</v>
      </c>
      <c r="J5" s="11" t="s">
        <v>39</v>
      </c>
      <c r="K5" s="11" t="s">
        <v>20</v>
      </c>
      <c r="L5" s="11" t="s">
        <v>21</v>
      </c>
      <c r="M5" s="11" t="s">
        <v>22</v>
      </c>
      <c r="N5" s="11" t="s">
        <v>22</v>
      </c>
      <c r="O5" s="20">
        <v>46091</v>
      </c>
    </row>
    <row r="6" spans="1:15" x14ac:dyDescent="0.3">
      <c r="A6" s="9" t="s">
        <v>40</v>
      </c>
      <c r="B6" s="10">
        <v>38</v>
      </c>
      <c r="C6" s="11" t="s">
        <v>16</v>
      </c>
      <c r="D6" s="11" t="s">
        <v>41</v>
      </c>
      <c r="E6" s="10">
        <v>70000</v>
      </c>
      <c r="F6" s="11" t="s">
        <v>42</v>
      </c>
      <c r="G6" s="10">
        <v>10</v>
      </c>
      <c r="H6" s="10">
        <v>3000</v>
      </c>
      <c r="I6" s="10">
        <v>30000</v>
      </c>
      <c r="J6" s="11" t="s">
        <v>19</v>
      </c>
      <c r="K6" s="11" t="s">
        <v>20</v>
      </c>
      <c r="L6" s="11" t="s">
        <v>28</v>
      </c>
      <c r="M6" s="11" t="s">
        <v>22</v>
      </c>
      <c r="N6" s="11" t="s">
        <v>35</v>
      </c>
      <c r="O6" s="20">
        <v>46099</v>
      </c>
    </row>
    <row r="7" spans="1:15" x14ac:dyDescent="0.3">
      <c r="A7" s="9" t="s">
        <v>43</v>
      </c>
      <c r="B7" s="10">
        <v>50</v>
      </c>
      <c r="C7" s="11" t="s">
        <v>24</v>
      </c>
      <c r="D7" s="11" t="s">
        <v>44</v>
      </c>
      <c r="E7" s="10">
        <v>50000</v>
      </c>
      <c r="F7" s="11" t="s">
        <v>45</v>
      </c>
      <c r="G7" s="10">
        <v>2</v>
      </c>
      <c r="H7" s="10">
        <v>4000</v>
      </c>
      <c r="I7" s="10">
        <v>8000</v>
      </c>
      <c r="J7" s="11" t="s">
        <v>33</v>
      </c>
      <c r="K7" s="11" t="s">
        <v>34</v>
      </c>
      <c r="L7" s="11" t="s">
        <v>28</v>
      </c>
      <c r="M7" s="11" t="s">
        <v>35</v>
      </c>
      <c r="N7" s="11" t="s">
        <v>29</v>
      </c>
      <c r="O7" s="20">
        <v>46058</v>
      </c>
    </row>
    <row r="8" spans="1:15" x14ac:dyDescent="0.3">
      <c r="A8" s="9" t="s">
        <v>46</v>
      </c>
      <c r="B8" s="10">
        <v>27</v>
      </c>
      <c r="C8" s="11" t="s">
        <v>16</v>
      </c>
      <c r="D8" s="11" t="s">
        <v>17</v>
      </c>
      <c r="E8" s="10">
        <v>35000</v>
      </c>
      <c r="F8" s="11" t="s">
        <v>18</v>
      </c>
      <c r="G8" s="10">
        <v>7</v>
      </c>
      <c r="H8" s="10">
        <v>1500</v>
      </c>
      <c r="I8" s="10">
        <v>10500</v>
      </c>
      <c r="J8" s="11" t="s">
        <v>27</v>
      </c>
      <c r="K8" s="11" t="s">
        <v>20</v>
      </c>
      <c r="L8" s="11" t="s">
        <v>21</v>
      </c>
      <c r="M8" s="11" t="s">
        <v>29</v>
      </c>
      <c r="N8" s="11" t="s">
        <v>22</v>
      </c>
      <c r="O8" s="20">
        <v>46093</v>
      </c>
    </row>
    <row r="9" spans="1:15" x14ac:dyDescent="0.3">
      <c r="A9" s="9" t="s">
        <v>47</v>
      </c>
      <c r="B9" s="10">
        <v>34</v>
      </c>
      <c r="C9" s="11" t="s">
        <v>24</v>
      </c>
      <c r="D9" s="11" t="s">
        <v>25</v>
      </c>
      <c r="E9" s="10">
        <v>80000</v>
      </c>
      <c r="F9" s="11" t="s">
        <v>26</v>
      </c>
      <c r="G9" s="10">
        <v>9</v>
      </c>
      <c r="H9" s="10">
        <v>2700</v>
      </c>
      <c r="I9" s="10">
        <v>24300</v>
      </c>
      <c r="J9" s="11" t="s">
        <v>19</v>
      </c>
      <c r="K9" s="11" t="s">
        <v>20</v>
      </c>
      <c r="L9" s="11" t="s">
        <v>28</v>
      </c>
      <c r="M9" s="11" t="s">
        <v>22</v>
      </c>
      <c r="N9" s="11" t="s">
        <v>35</v>
      </c>
      <c r="O9" s="20">
        <v>46101</v>
      </c>
    </row>
    <row r="10" spans="1:15" x14ac:dyDescent="0.3">
      <c r="A10" s="9" t="s">
        <v>48</v>
      </c>
      <c r="B10" s="10">
        <v>41</v>
      </c>
      <c r="C10" s="11" t="s">
        <v>16</v>
      </c>
      <c r="D10" s="11" t="s">
        <v>31</v>
      </c>
      <c r="E10" s="10">
        <v>95000</v>
      </c>
      <c r="F10" s="11" t="s">
        <v>32</v>
      </c>
      <c r="G10" s="10">
        <v>4</v>
      </c>
      <c r="H10" s="10">
        <v>4500</v>
      </c>
      <c r="I10" s="10">
        <v>18000</v>
      </c>
      <c r="J10" s="11" t="s">
        <v>33</v>
      </c>
      <c r="K10" s="11" t="s">
        <v>34</v>
      </c>
      <c r="L10" s="11" t="s">
        <v>28</v>
      </c>
      <c r="M10" s="11" t="s">
        <v>29</v>
      </c>
      <c r="N10" s="11" t="s">
        <v>35</v>
      </c>
      <c r="O10" s="20">
        <v>46078</v>
      </c>
    </row>
    <row r="11" spans="1:15" x14ac:dyDescent="0.3">
      <c r="A11" s="9" t="s">
        <v>49</v>
      </c>
      <c r="B11" s="10">
        <v>30</v>
      </c>
      <c r="C11" s="11" t="s">
        <v>24</v>
      </c>
      <c r="D11" s="11" t="s">
        <v>37</v>
      </c>
      <c r="E11" s="10">
        <v>42000</v>
      </c>
      <c r="F11" s="11" t="s">
        <v>38</v>
      </c>
      <c r="G11" s="10">
        <v>6</v>
      </c>
      <c r="H11" s="10">
        <v>2000</v>
      </c>
      <c r="I11" s="10">
        <v>12000</v>
      </c>
      <c r="J11" s="11" t="s">
        <v>39</v>
      </c>
      <c r="K11" s="11" t="s">
        <v>20</v>
      </c>
      <c r="L11" s="11" t="s">
        <v>21</v>
      </c>
      <c r="M11" s="11" t="s">
        <v>29</v>
      </c>
      <c r="N11" s="11" t="s">
        <v>29</v>
      </c>
      <c r="O11" s="20">
        <v>46089</v>
      </c>
    </row>
    <row r="12" spans="1:15" x14ac:dyDescent="0.3">
      <c r="A12" s="9" t="s">
        <v>50</v>
      </c>
      <c r="B12" s="12">
        <v>30</v>
      </c>
      <c r="C12" s="13" t="s">
        <v>16</v>
      </c>
      <c r="D12" s="13" t="s">
        <v>25</v>
      </c>
      <c r="E12" s="12">
        <v>59146</v>
      </c>
      <c r="F12" s="13" t="s">
        <v>26</v>
      </c>
      <c r="G12" s="12">
        <v>11</v>
      </c>
      <c r="H12" s="12">
        <v>1075</v>
      </c>
      <c r="I12" s="12">
        <v>11825</v>
      </c>
      <c r="J12" s="13" t="s">
        <v>39</v>
      </c>
      <c r="K12" s="13" t="s">
        <v>20</v>
      </c>
      <c r="L12" s="13" t="s">
        <v>28</v>
      </c>
      <c r="M12" s="13" t="s">
        <v>29</v>
      </c>
      <c r="N12" s="13" t="s">
        <v>22</v>
      </c>
      <c r="O12" s="21">
        <v>46081</v>
      </c>
    </row>
    <row r="13" spans="1:15" x14ac:dyDescent="0.3">
      <c r="A13" s="9" t="s">
        <v>51</v>
      </c>
      <c r="B13" s="12">
        <v>49</v>
      </c>
      <c r="C13" s="13" t="s">
        <v>24</v>
      </c>
      <c r="D13" s="13" t="s">
        <v>37</v>
      </c>
      <c r="E13" s="12">
        <v>42383</v>
      </c>
      <c r="F13" s="13" t="s">
        <v>18</v>
      </c>
      <c r="G13" s="12">
        <v>7</v>
      </c>
      <c r="H13" s="12">
        <v>1368</v>
      </c>
      <c r="I13" s="12">
        <v>9576</v>
      </c>
      <c r="J13" s="13" t="s">
        <v>19</v>
      </c>
      <c r="K13" s="13" t="s">
        <v>20</v>
      </c>
      <c r="L13" s="13" t="s">
        <v>28</v>
      </c>
      <c r="M13" s="13" t="s">
        <v>29</v>
      </c>
      <c r="N13" s="13" t="s">
        <v>29</v>
      </c>
      <c r="O13" s="21">
        <v>46057</v>
      </c>
    </row>
    <row r="14" spans="1:15" x14ac:dyDescent="0.3">
      <c r="A14" s="9" t="s">
        <v>52</v>
      </c>
      <c r="B14" s="12">
        <v>37</v>
      </c>
      <c r="C14" s="13" t="s">
        <v>16</v>
      </c>
      <c r="D14" s="13" t="s">
        <v>41</v>
      </c>
      <c r="E14" s="12">
        <v>55412</v>
      </c>
      <c r="F14" s="13" t="s">
        <v>32</v>
      </c>
      <c r="G14" s="12">
        <v>8</v>
      </c>
      <c r="H14" s="12">
        <v>3192</v>
      </c>
      <c r="I14" s="12">
        <v>25536</v>
      </c>
      <c r="J14" s="13" t="s">
        <v>39</v>
      </c>
      <c r="K14" s="13" t="s">
        <v>34</v>
      </c>
      <c r="L14" s="13" t="s">
        <v>28</v>
      </c>
      <c r="M14" s="13" t="s">
        <v>22</v>
      </c>
      <c r="N14" s="13" t="s">
        <v>22</v>
      </c>
      <c r="O14" s="21">
        <v>46102</v>
      </c>
    </row>
    <row r="15" spans="1:15" x14ac:dyDescent="0.3">
      <c r="A15" s="9" t="s">
        <v>53</v>
      </c>
      <c r="B15" s="12">
        <v>31</v>
      </c>
      <c r="C15" s="13" t="s">
        <v>24</v>
      </c>
      <c r="D15" s="13" t="s">
        <v>31</v>
      </c>
      <c r="E15" s="12">
        <v>86225</v>
      </c>
      <c r="F15" s="13" t="s">
        <v>32</v>
      </c>
      <c r="G15" s="12">
        <v>9</v>
      </c>
      <c r="H15" s="12">
        <v>3295</v>
      </c>
      <c r="I15" s="12">
        <v>29655</v>
      </c>
      <c r="J15" s="13" t="s">
        <v>33</v>
      </c>
      <c r="K15" s="13" t="s">
        <v>20</v>
      </c>
      <c r="L15" s="13" t="s">
        <v>28</v>
      </c>
      <c r="M15" s="13" t="s">
        <v>35</v>
      </c>
      <c r="N15" s="13" t="s">
        <v>22</v>
      </c>
      <c r="O15" s="21">
        <v>46069</v>
      </c>
    </row>
    <row r="16" spans="1:15" x14ac:dyDescent="0.3">
      <c r="A16" s="9" t="s">
        <v>54</v>
      </c>
      <c r="B16" s="12">
        <v>24</v>
      </c>
      <c r="C16" s="13" t="s">
        <v>16</v>
      </c>
      <c r="D16" s="13" t="s">
        <v>37</v>
      </c>
      <c r="E16" s="12">
        <v>77958</v>
      </c>
      <c r="F16" s="13" t="s">
        <v>18</v>
      </c>
      <c r="G16" s="12">
        <v>12</v>
      </c>
      <c r="H16" s="12">
        <v>1493</v>
      </c>
      <c r="I16" s="12">
        <v>17916</v>
      </c>
      <c r="J16" s="13" t="s">
        <v>19</v>
      </c>
      <c r="K16" s="13" t="s">
        <v>34</v>
      </c>
      <c r="L16" s="13" t="s">
        <v>21</v>
      </c>
      <c r="M16" s="13" t="s">
        <v>35</v>
      </c>
      <c r="N16" s="13" t="s">
        <v>35</v>
      </c>
      <c r="O16" s="21">
        <v>46099</v>
      </c>
    </row>
    <row r="17" spans="1:15" x14ac:dyDescent="0.3">
      <c r="A17" s="9" t="s">
        <v>55</v>
      </c>
      <c r="B17" s="12">
        <v>31</v>
      </c>
      <c r="C17" s="13" t="s">
        <v>24</v>
      </c>
      <c r="D17" s="13" t="s">
        <v>17</v>
      </c>
      <c r="E17" s="12">
        <v>29108</v>
      </c>
      <c r="F17" s="13" t="s">
        <v>38</v>
      </c>
      <c r="G17" s="12">
        <v>12</v>
      </c>
      <c r="H17" s="12">
        <v>1095</v>
      </c>
      <c r="I17" s="12">
        <v>13140</v>
      </c>
      <c r="J17" s="13" t="s">
        <v>39</v>
      </c>
      <c r="K17" s="13" t="s">
        <v>20</v>
      </c>
      <c r="L17" s="13" t="s">
        <v>28</v>
      </c>
      <c r="M17" s="13" t="s">
        <v>29</v>
      </c>
      <c r="N17" s="13" t="s">
        <v>29</v>
      </c>
      <c r="O17" s="21">
        <v>46079</v>
      </c>
    </row>
    <row r="18" spans="1:15" x14ac:dyDescent="0.3">
      <c r="A18" s="9" t="s">
        <v>56</v>
      </c>
      <c r="B18" s="12">
        <v>43</v>
      </c>
      <c r="C18" s="13" t="s">
        <v>16</v>
      </c>
      <c r="D18" s="13" t="s">
        <v>41</v>
      </c>
      <c r="E18" s="12">
        <v>33625</v>
      </c>
      <c r="F18" s="13" t="s">
        <v>18</v>
      </c>
      <c r="G18" s="12">
        <v>9</v>
      </c>
      <c r="H18" s="12">
        <v>3106</v>
      </c>
      <c r="I18" s="12">
        <v>27954</v>
      </c>
      <c r="J18" s="13" t="s">
        <v>19</v>
      </c>
      <c r="K18" s="13" t="s">
        <v>20</v>
      </c>
      <c r="L18" s="13" t="s">
        <v>28</v>
      </c>
      <c r="M18" s="13" t="s">
        <v>22</v>
      </c>
      <c r="N18" s="13" t="s">
        <v>22</v>
      </c>
      <c r="O18" s="21">
        <v>46069</v>
      </c>
    </row>
    <row r="19" spans="1:15" x14ac:dyDescent="0.3">
      <c r="A19" s="9" t="s">
        <v>57</v>
      </c>
      <c r="B19" s="12">
        <v>45</v>
      </c>
      <c r="C19" s="13" t="s">
        <v>16</v>
      </c>
      <c r="D19" s="13" t="s">
        <v>41</v>
      </c>
      <c r="E19" s="12">
        <v>30820</v>
      </c>
      <c r="F19" s="13" t="s">
        <v>32</v>
      </c>
      <c r="G19" s="12">
        <v>10</v>
      </c>
      <c r="H19" s="12">
        <v>4958</v>
      </c>
      <c r="I19" s="12">
        <v>49580</v>
      </c>
      <c r="J19" s="13" t="s">
        <v>27</v>
      </c>
      <c r="K19" s="13" t="s">
        <v>34</v>
      </c>
      <c r="L19" s="13" t="s">
        <v>28</v>
      </c>
      <c r="M19" s="13" t="s">
        <v>29</v>
      </c>
      <c r="N19" s="13" t="s">
        <v>35</v>
      </c>
      <c r="O19" s="21">
        <v>46104</v>
      </c>
    </row>
    <row r="20" spans="1:15" x14ac:dyDescent="0.3">
      <c r="A20" s="9" t="s">
        <v>58</v>
      </c>
      <c r="B20" s="12">
        <v>42</v>
      </c>
      <c r="C20" s="13" t="s">
        <v>24</v>
      </c>
      <c r="D20" s="13" t="s">
        <v>17</v>
      </c>
      <c r="E20" s="12">
        <v>94746</v>
      </c>
      <c r="F20" s="13" t="s">
        <v>32</v>
      </c>
      <c r="G20" s="12">
        <v>12</v>
      </c>
      <c r="H20" s="12">
        <v>3267</v>
      </c>
      <c r="I20" s="12">
        <v>39204</v>
      </c>
      <c r="J20" s="13" t="s">
        <v>27</v>
      </c>
      <c r="K20" s="13" t="s">
        <v>34</v>
      </c>
      <c r="L20" s="13" t="s">
        <v>28</v>
      </c>
      <c r="M20" s="13" t="s">
        <v>22</v>
      </c>
      <c r="N20" s="13" t="s">
        <v>35</v>
      </c>
      <c r="O20" s="21">
        <v>46107</v>
      </c>
    </row>
    <row r="21" spans="1:15" x14ac:dyDescent="0.3">
      <c r="A21" s="9" t="s">
        <v>59</v>
      </c>
      <c r="B21" s="12">
        <v>35</v>
      </c>
      <c r="C21" s="13" t="s">
        <v>16</v>
      </c>
      <c r="D21" s="13" t="s">
        <v>44</v>
      </c>
      <c r="E21" s="12">
        <v>91313</v>
      </c>
      <c r="F21" s="13" t="s">
        <v>32</v>
      </c>
      <c r="G21" s="12">
        <v>1</v>
      </c>
      <c r="H21" s="12">
        <v>1772</v>
      </c>
      <c r="I21" s="12">
        <v>1772</v>
      </c>
      <c r="J21" s="13" t="s">
        <v>27</v>
      </c>
      <c r="K21" s="13" t="s">
        <v>20</v>
      </c>
      <c r="L21" s="13" t="s">
        <v>21</v>
      </c>
      <c r="M21" s="13" t="s">
        <v>35</v>
      </c>
      <c r="N21" s="13" t="s">
        <v>22</v>
      </c>
      <c r="O21" s="21">
        <v>46056</v>
      </c>
    </row>
    <row r="22" spans="1:15" x14ac:dyDescent="0.3">
      <c r="A22" s="9" t="s">
        <v>60</v>
      </c>
      <c r="B22" s="12">
        <v>39</v>
      </c>
      <c r="C22" s="13" t="s">
        <v>24</v>
      </c>
      <c r="D22" s="13" t="s">
        <v>37</v>
      </c>
      <c r="E22" s="12">
        <v>66153</v>
      </c>
      <c r="F22" s="13" t="s">
        <v>38</v>
      </c>
      <c r="G22" s="12">
        <v>10</v>
      </c>
      <c r="H22" s="12">
        <v>596</v>
      </c>
      <c r="I22" s="12">
        <v>5960</v>
      </c>
      <c r="J22" s="13" t="s">
        <v>19</v>
      </c>
      <c r="K22" s="13" t="s">
        <v>34</v>
      </c>
      <c r="L22" s="13" t="s">
        <v>21</v>
      </c>
      <c r="M22" s="13" t="s">
        <v>22</v>
      </c>
      <c r="N22" s="13" t="s">
        <v>22</v>
      </c>
      <c r="O22" s="21">
        <v>46064</v>
      </c>
    </row>
    <row r="23" spans="1:15" x14ac:dyDescent="0.3">
      <c r="A23" s="9" t="s">
        <v>61</v>
      </c>
      <c r="B23" s="12">
        <v>41</v>
      </c>
      <c r="C23" s="13" t="s">
        <v>24</v>
      </c>
      <c r="D23" s="13" t="s">
        <v>44</v>
      </c>
      <c r="E23" s="12">
        <v>60528</v>
      </c>
      <c r="F23" s="13" t="s">
        <v>38</v>
      </c>
      <c r="G23" s="12">
        <v>1</v>
      </c>
      <c r="H23" s="12">
        <v>4764</v>
      </c>
      <c r="I23" s="12">
        <v>4764</v>
      </c>
      <c r="J23" s="13" t="s">
        <v>39</v>
      </c>
      <c r="K23" s="13" t="s">
        <v>34</v>
      </c>
      <c r="L23" s="13" t="s">
        <v>28</v>
      </c>
      <c r="M23" s="13" t="s">
        <v>29</v>
      </c>
      <c r="N23" s="13" t="s">
        <v>29</v>
      </c>
      <c r="O23" s="21">
        <v>46103</v>
      </c>
    </row>
    <row r="24" spans="1:15" x14ac:dyDescent="0.3">
      <c r="A24" s="9" t="s">
        <v>62</v>
      </c>
      <c r="B24" s="12">
        <v>41</v>
      </c>
      <c r="C24" s="13" t="s">
        <v>16</v>
      </c>
      <c r="D24" s="13" t="s">
        <v>31</v>
      </c>
      <c r="E24" s="12">
        <v>62298</v>
      </c>
      <c r="F24" s="13" t="s">
        <v>38</v>
      </c>
      <c r="G24" s="12">
        <v>11</v>
      </c>
      <c r="H24" s="12">
        <v>3941</v>
      </c>
      <c r="I24" s="12">
        <v>43351</v>
      </c>
      <c r="J24" s="13" t="s">
        <v>33</v>
      </c>
      <c r="K24" s="13" t="s">
        <v>20</v>
      </c>
      <c r="L24" s="13" t="s">
        <v>28</v>
      </c>
      <c r="M24" s="13" t="s">
        <v>35</v>
      </c>
      <c r="N24" s="13" t="s">
        <v>35</v>
      </c>
      <c r="O24" s="21">
        <v>46059</v>
      </c>
    </row>
    <row r="25" spans="1:15" x14ac:dyDescent="0.3">
      <c r="A25" s="9" t="s">
        <v>63</v>
      </c>
      <c r="B25" s="12">
        <v>50</v>
      </c>
      <c r="C25" s="13" t="s">
        <v>16</v>
      </c>
      <c r="D25" s="13" t="s">
        <v>25</v>
      </c>
      <c r="E25" s="12">
        <v>42100</v>
      </c>
      <c r="F25" s="13" t="s">
        <v>38</v>
      </c>
      <c r="G25" s="12">
        <v>10</v>
      </c>
      <c r="H25" s="12">
        <v>3465</v>
      </c>
      <c r="I25" s="12">
        <v>34650</v>
      </c>
      <c r="J25" s="13" t="s">
        <v>33</v>
      </c>
      <c r="K25" s="13" t="s">
        <v>20</v>
      </c>
      <c r="L25" s="13" t="s">
        <v>28</v>
      </c>
      <c r="M25" s="13" t="s">
        <v>22</v>
      </c>
      <c r="N25" s="13" t="s">
        <v>22</v>
      </c>
      <c r="O25" s="21">
        <v>46073</v>
      </c>
    </row>
    <row r="26" spans="1:15" x14ac:dyDescent="0.3">
      <c r="A26" s="9" t="s">
        <v>64</v>
      </c>
      <c r="B26" s="12">
        <v>34</v>
      </c>
      <c r="C26" s="13" t="s">
        <v>16</v>
      </c>
      <c r="D26" s="13" t="s">
        <v>44</v>
      </c>
      <c r="E26" s="12">
        <v>99753</v>
      </c>
      <c r="F26" s="13" t="s">
        <v>42</v>
      </c>
      <c r="G26" s="12">
        <v>4</v>
      </c>
      <c r="H26" s="12">
        <v>566</v>
      </c>
      <c r="I26" s="12">
        <v>2264</v>
      </c>
      <c r="J26" s="13" t="s">
        <v>27</v>
      </c>
      <c r="K26" s="13" t="s">
        <v>34</v>
      </c>
      <c r="L26" s="13" t="s">
        <v>21</v>
      </c>
      <c r="M26" s="13" t="s">
        <v>22</v>
      </c>
      <c r="N26" s="13" t="s">
        <v>35</v>
      </c>
      <c r="O26" s="21">
        <v>46066</v>
      </c>
    </row>
    <row r="27" spans="1:15" x14ac:dyDescent="0.3">
      <c r="A27" s="9" t="s">
        <v>65</v>
      </c>
      <c r="B27" s="12">
        <v>52</v>
      </c>
      <c r="C27" s="13" t="s">
        <v>24</v>
      </c>
      <c r="D27" s="13" t="s">
        <v>25</v>
      </c>
      <c r="E27" s="12">
        <v>69423</v>
      </c>
      <c r="F27" s="13" t="s">
        <v>18</v>
      </c>
      <c r="G27" s="12">
        <v>9</v>
      </c>
      <c r="H27" s="12">
        <v>3699</v>
      </c>
      <c r="I27" s="12">
        <v>33291</v>
      </c>
      <c r="J27" s="13" t="s">
        <v>19</v>
      </c>
      <c r="K27" s="13" t="s">
        <v>34</v>
      </c>
      <c r="L27" s="13" t="s">
        <v>28</v>
      </c>
      <c r="M27" s="13" t="s">
        <v>35</v>
      </c>
      <c r="N27" s="13" t="s">
        <v>29</v>
      </c>
      <c r="O27" s="21">
        <v>46036</v>
      </c>
    </row>
    <row r="28" spans="1:15" x14ac:dyDescent="0.3">
      <c r="A28" s="9" t="s">
        <v>66</v>
      </c>
      <c r="B28" s="12">
        <v>43</v>
      </c>
      <c r="C28" s="13" t="s">
        <v>24</v>
      </c>
      <c r="D28" s="13" t="s">
        <v>37</v>
      </c>
      <c r="E28" s="12">
        <v>36944</v>
      </c>
      <c r="F28" s="13" t="s">
        <v>42</v>
      </c>
      <c r="G28" s="12">
        <v>5</v>
      </c>
      <c r="H28" s="12">
        <v>1887</v>
      </c>
      <c r="I28" s="12">
        <v>9435</v>
      </c>
      <c r="J28" s="13" t="s">
        <v>27</v>
      </c>
      <c r="K28" s="13" t="s">
        <v>34</v>
      </c>
      <c r="L28" s="13" t="s">
        <v>28</v>
      </c>
      <c r="M28" s="13" t="s">
        <v>22</v>
      </c>
      <c r="N28" s="13" t="s">
        <v>22</v>
      </c>
      <c r="O28" s="21">
        <v>46033</v>
      </c>
    </row>
    <row r="29" spans="1:15" x14ac:dyDescent="0.3">
      <c r="A29" s="9" t="s">
        <v>67</v>
      </c>
      <c r="B29" s="12">
        <v>56</v>
      </c>
      <c r="C29" s="13" t="s">
        <v>16</v>
      </c>
      <c r="D29" s="13" t="s">
        <v>37</v>
      </c>
      <c r="E29" s="12">
        <v>25584</v>
      </c>
      <c r="F29" s="13" t="s">
        <v>42</v>
      </c>
      <c r="G29" s="12">
        <v>7</v>
      </c>
      <c r="H29" s="12">
        <v>2129</v>
      </c>
      <c r="I29" s="12">
        <v>14903</v>
      </c>
      <c r="J29" s="13" t="s">
        <v>19</v>
      </c>
      <c r="K29" s="13" t="s">
        <v>34</v>
      </c>
      <c r="L29" s="13" t="s">
        <v>28</v>
      </c>
      <c r="M29" s="13" t="s">
        <v>22</v>
      </c>
      <c r="N29" s="13" t="s">
        <v>29</v>
      </c>
      <c r="O29" s="21">
        <v>46102</v>
      </c>
    </row>
    <row r="30" spans="1:15" x14ac:dyDescent="0.3">
      <c r="A30" s="9" t="s">
        <v>68</v>
      </c>
      <c r="B30" s="12">
        <v>22</v>
      </c>
      <c r="C30" s="13" t="s">
        <v>24</v>
      </c>
      <c r="D30" s="13" t="s">
        <v>17</v>
      </c>
      <c r="E30" s="12">
        <v>72375</v>
      </c>
      <c r="F30" s="13" t="s">
        <v>18</v>
      </c>
      <c r="G30" s="12">
        <v>6</v>
      </c>
      <c r="H30" s="12">
        <v>929</v>
      </c>
      <c r="I30" s="12">
        <v>5574</v>
      </c>
      <c r="J30" s="13" t="s">
        <v>27</v>
      </c>
      <c r="K30" s="13" t="s">
        <v>20</v>
      </c>
      <c r="L30" s="13" t="s">
        <v>28</v>
      </c>
      <c r="M30" s="13" t="s">
        <v>29</v>
      </c>
      <c r="N30" s="13" t="s">
        <v>29</v>
      </c>
      <c r="O30" s="21">
        <v>46061</v>
      </c>
    </row>
    <row r="31" spans="1:15" x14ac:dyDescent="0.3">
      <c r="A31" s="9" t="s">
        <v>69</v>
      </c>
      <c r="B31" s="12">
        <v>60</v>
      </c>
      <c r="C31" s="13" t="s">
        <v>24</v>
      </c>
      <c r="D31" s="13" t="s">
        <v>37</v>
      </c>
      <c r="E31" s="12">
        <v>29365</v>
      </c>
      <c r="F31" s="13" t="s">
        <v>26</v>
      </c>
      <c r="G31" s="12">
        <v>11</v>
      </c>
      <c r="H31" s="12">
        <v>2170</v>
      </c>
      <c r="I31" s="12">
        <v>23870</v>
      </c>
      <c r="J31" s="13" t="s">
        <v>19</v>
      </c>
      <c r="K31" s="13" t="s">
        <v>34</v>
      </c>
      <c r="L31" s="13" t="s">
        <v>21</v>
      </c>
      <c r="M31" s="13" t="s">
        <v>22</v>
      </c>
      <c r="N31" s="13" t="s">
        <v>22</v>
      </c>
      <c r="O31" s="21">
        <v>46088</v>
      </c>
    </row>
    <row r="32" spans="1:15" x14ac:dyDescent="0.3">
      <c r="A32" s="9" t="s">
        <v>70</v>
      </c>
      <c r="B32" s="12">
        <v>59</v>
      </c>
      <c r="C32" s="13" t="s">
        <v>16</v>
      </c>
      <c r="D32" s="13" t="s">
        <v>31</v>
      </c>
      <c r="E32" s="12">
        <v>49757</v>
      </c>
      <c r="F32" s="13" t="s">
        <v>42</v>
      </c>
      <c r="G32" s="12">
        <v>6</v>
      </c>
      <c r="H32" s="12">
        <v>2564</v>
      </c>
      <c r="I32" s="12">
        <v>15384</v>
      </c>
      <c r="J32" s="13" t="s">
        <v>33</v>
      </c>
      <c r="K32" s="13" t="s">
        <v>34</v>
      </c>
      <c r="L32" s="13" t="s">
        <v>28</v>
      </c>
      <c r="M32" s="13" t="s">
        <v>35</v>
      </c>
      <c r="N32" s="13" t="s">
        <v>29</v>
      </c>
      <c r="O32" s="21">
        <v>46077</v>
      </c>
    </row>
    <row r="33" spans="1:15" x14ac:dyDescent="0.3">
      <c r="A33" s="9" t="s">
        <v>71</v>
      </c>
      <c r="B33" s="12">
        <v>55</v>
      </c>
      <c r="C33" s="13" t="s">
        <v>24</v>
      </c>
      <c r="D33" s="13" t="s">
        <v>37</v>
      </c>
      <c r="E33" s="12">
        <v>86123</v>
      </c>
      <c r="F33" s="13" t="s">
        <v>38</v>
      </c>
      <c r="G33" s="12">
        <v>2</v>
      </c>
      <c r="H33" s="12">
        <v>2211</v>
      </c>
      <c r="I33" s="12">
        <v>4422</v>
      </c>
      <c r="J33" s="13" t="s">
        <v>39</v>
      </c>
      <c r="K33" s="13" t="s">
        <v>34</v>
      </c>
      <c r="L33" s="13" t="s">
        <v>28</v>
      </c>
      <c r="M33" s="13" t="s">
        <v>22</v>
      </c>
      <c r="N33" s="13" t="s">
        <v>35</v>
      </c>
      <c r="O33" s="21">
        <v>46062</v>
      </c>
    </row>
    <row r="34" spans="1:15" x14ac:dyDescent="0.3">
      <c r="A34" s="9" t="s">
        <v>72</v>
      </c>
      <c r="B34" s="12">
        <v>25</v>
      </c>
      <c r="C34" s="13" t="s">
        <v>16</v>
      </c>
      <c r="D34" s="13" t="s">
        <v>41</v>
      </c>
      <c r="E34" s="12">
        <v>62759</v>
      </c>
      <c r="F34" s="13" t="s">
        <v>18</v>
      </c>
      <c r="G34" s="12">
        <v>8</v>
      </c>
      <c r="H34" s="12">
        <v>4795</v>
      </c>
      <c r="I34" s="12">
        <v>38360</v>
      </c>
      <c r="J34" s="13" t="s">
        <v>27</v>
      </c>
      <c r="K34" s="13" t="s">
        <v>34</v>
      </c>
      <c r="L34" s="13" t="s">
        <v>28</v>
      </c>
      <c r="M34" s="13" t="s">
        <v>29</v>
      </c>
      <c r="N34" s="13" t="s">
        <v>35</v>
      </c>
      <c r="O34" s="21">
        <v>46058</v>
      </c>
    </row>
    <row r="35" spans="1:15" x14ac:dyDescent="0.3">
      <c r="A35" s="9" t="s">
        <v>73</v>
      </c>
      <c r="B35" s="12">
        <v>58</v>
      </c>
      <c r="C35" s="13" t="s">
        <v>24</v>
      </c>
      <c r="D35" s="13" t="s">
        <v>41</v>
      </c>
      <c r="E35" s="12">
        <v>81366</v>
      </c>
      <c r="F35" s="13" t="s">
        <v>18</v>
      </c>
      <c r="G35" s="12">
        <v>6</v>
      </c>
      <c r="H35" s="12">
        <v>3613</v>
      </c>
      <c r="I35" s="12">
        <v>21678</v>
      </c>
      <c r="J35" s="13" t="s">
        <v>27</v>
      </c>
      <c r="K35" s="13" t="s">
        <v>20</v>
      </c>
      <c r="L35" s="13" t="s">
        <v>21</v>
      </c>
      <c r="M35" s="13" t="s">
        <v>35</v>
      </c>
      <c r="N35" s="13" t="s">
        <v>35</v>
      </c>
      <c r="O35" s="21">
        <v>46031</v>
      </c>
    </row>
    <row r="36" spans="1:15" x14ac:dyDescent="0.3">
      <c r="A36" s="9" t="s">
        <v>74</v>
      </c>
      <c r="B36" s="12">
        <v>51</v>
      </c>
      <c r="C36" s="13" t="s">
        <v>16</v>
      </c>
      <c r="D36" s="13" t="s">
        <v>37</v>
      </c>
      <c r="E36" s="12">
        <v>88402</v>
      </c>
      <c r="F36" s="13" t="s">
        <v>18</v>
      </c>
      <c r="G36" s="12">
        <v>3</v>
      </c>
      <c r="H36" s="12">
        <v>2374</v>
      </c>
      <c r="I36" s="12">
        <v>7122</v>
      </c>
      <c r="J36" s="13" t="s">
        <v>27</v>
      </c>
      <c r="K36" s="13" t="s">
        <v>20</v>
      </c>
      <c r="L36" s="13" t="s">
        <v>28</v>
      </c>
      <c r="M36" s="13" t="s">
        <v>29</v>
      </c>
      <c r="N36" s="13" t="s">
        <v>29</v>
      </c>
      <c r="O36" s="21">
        <v>46112</v>
      </c>
    </row>
    <row r="37" spans="1:15" x14ac:dyDescent="0.3">
      <c r="A37" s="9" t="s">
        <v>75</v>
      </c>
      <c r="B37" s="12">
        <v>39</v>
      </c>
      <c r="C37" s="13" t="s">
        <v>24</v>
      </c>
      <c r="D37" s="13" t="s">
        <v>31</v>
      </c>
      <c r="E37" s="12">
        <v>84069</v>
      </c>
      <c r="F37" s="13" t="s">
        <v>18</v>
      </c>
      <c r="G37" s="12">
        <v>4</v>
      </c>
      <c r="H37" s="12">
        <v>2667</v>
      </c>
      <c r="I37" s="12">
        <v>10668</v>
      </c>
      <c r="J37" s="13" t="s">
        <v>19</v>
      </c>
      <c r="K37" s="13" t="s">
        <v>20</v>
      </c>
      <c r="L37" s="13" t="s">
        <v>21</v>
      </c>
      <c r="M37" s="13" t="s">
        <v>29</v>
      </c>
      <c r="N37" s="13" t="s">
        <v>22</v>
      </c>
      <c r="O37" s="21">
        <v>46075</v>
      </c>
    </row>
    <row r="38" spans="1:15" x14ac:dyDescent="0.3">
      <c r="A38" s="9" t="s">
        <v>76</v>
      </c>
      <c r="B38" s="12">
        <v>36</v>
      </c>
      <c r="C38" s="13" t="s">
        <v>24</v>
      </c>
      <c r="D38" s="13" t="s">
        <v>25</v>
      </c>
      <c r="E38" s="12">
        <v>34359</v>
      </c>
      <c r="F38" s="13" t="s">
        <v>26</v>
      </c>
      <c r="G38" s="12">
        <v>7</v>
      </c>
      <c r="H38" s="12">
        <v>2265</v>
      </c>
      <c r="I38" s="12">
        <v>15855</v>
      </c>
      <c r="J38" s="13" t="s">
        <v>33</v>
      </c>
      <c r="K38" s="13" t="s">
        <v>34</v>
      </c>
      <c r="L38" s="13" t="s">
        <v>21</v>
      </c>
      <c r="M38" s="13" t="s">
        <v>35</v>
      </c>
      <c r="N38" s="13" t="s">
        <v>35</v>
      </c>
      <c r="O38" s="21">
        <v>46101</v>
      </c>
    </row>
    <row r="39" spans="1:15" x14ac:dyDescent="0.3">
      <c r="A39" s="9" t="s">
        <v>77</v>
      </c>
      <c r="B39" s="12">
        <v>25</v>
      </c>
      <c r="C39" s="13" t="s">
        <v>24</v>
      </c>
      <c r="D39" s="13" t="s">
        <v>44</v>
      </c>
      <c r="E39" s="12">
        <v>43832</v>
      </c>
      <c r="F39" s="13" t="s">
        <v>32</v>
      </c>
      <c r="G39" s="12">
        <v>8</v>
      </c>
      <c r="H39" s="12">
        <v>4092</v>
      </c>
      <c r="I39" s="12">
        <v>32736</v>
      </c>
      <c r="J39" s="13" t="s">
        <v>27</v>
      </c>
      <c r="K39" s="13" t="s">
        <v>20</v>
      </c>
      <c r="L39" s="13" t="s">
        <v>28</v>
      </c>
      <c r="M39" s="13" t="s">
        <v>22</v>
      </c>
      <c r="N39" s="13" t="s">
        <v>29</v>
      </c>
      <c r="O39" s="21">
        <v>46105</v>
      </c>
    </row>
    <row r="40" spans="1:15" x14ac:dyDescent="0.3">
      <c r="A40" s="9" t="s">
        <v>78</v>
      </c>
      <c r="B40" s="12">
        <v>29</v>
      </c>
      <c r="C40" s="13" t="s">
        <v>16</v>
      </c>
      <c r="D40" s="13" t="s">
        <v>31</v>
      </c>
      <c r="E40" s="12">
        <v>82700</v>
      </c>
      <c r="F40" s="13" t="s">
        <v>18</v>
      </c>
      <c r="G40" s="12">
        <v>3</v>
      </c>
      <c r="H40" s="12">
        <v>3902</v>
      </c>
      <c r="I40" s="12">
        <v>11706</v>
      </c>
      <c r="J40" s="13" t="s">
        <v>39</v>
      </c>
      <c r="K40" s="13" t="s">
        <v>34</v>
      </c>
      <c r="L40" s="13" t="s">
        <v>28</v>
      </c>
      <c r="M40" s="13" t="s">
        <v>35</v>
      </c>
      <c r="N40" s="13" t="s">
        <v>35</v>
      </c>
      <c r="O40" s="21">
        <v>46086</v>
      </c>
    </row>
    <row r="41" spans="1:15" x14ac:dyDescent="0.3">
      <c r="A41" s="9" t="s">
        <v>79</v>
      </c>
      <c r="B41" s="12">
        <v>31</v>
      </c>
      <c r="C41" s="13" t="s">
        <v>16</v>
      </c>
      <c r="D41" s="13" t="s">
        <v>44</v>
      </c>
      <c r="E41" s="12">
        <v>91135</v>
      </c>
      <c r="F41" s="13" t="s">
        <v>26</v>
      </c>
      <c r="G41" s="12">
        <v>11</v>
      </c>
      <c r="H41" s="12">
        <v>2032</v>
      </c>
      <c r="I41" s="12">
        <v>22352</v>
      </c>
      <c r="J41" s="13" t="s">
        <v>33</v>
      </c>
      <c r="K41" s="13" t="s">
        <v>34</v>
      </c>
      <c r="L41" s="13" t="s">
        <v>28</v>
      </c>
      <c r="M41" s="13" t="s">
        <v>29</v>
      </c>
      <c r="N41" s="13" t="s">
        <v>35</v>
      </c>
      <c r="O41" s="21">
        <v>46101</v>
      </c>
    </row>
    <row r="42" spans="1:15" x14ac:dyDescent="0.3">
      <c r="A42" s="9" t="s">
        <v>80</v>
      </c>
      <c r="B42" s="12">
        <v>23</v>
      </c>
      <c r="C42" s="13" t="s">
        <v>24</v>
      </c>
      <c r="D42" s="13" t="s">
        <v>37</v>
      </c>
      <c r="E42" s="12">
        <v>50960</v>
      </c>
      <c r="F42" s="13" t="s">
        <v>42</v>
      </c>
      <c r="G42" s="12">
        <v>8</v>
      </c>
      <c r="H42" s="12">
        <v>3294</v>
      </c>
      <c r="I42" s="12">
        <v>26352</v>
      </c>
      <c r="J42" s="13" t="s">
        <v>39</v>
      </c>
      <c r="K42" s="13" t="s">
        <v>20</v>
      </c>
      <c r="L42" s="13" t="s">
        <v>28</v>
      </c>
      <c r="M42" s="13" t="s">
        <v>29</v>
      </c>
      <c r="N42" s="13" t="s">
        <v>29</v>
      </c>
      <c r="O42" s="21">
        <v>46059</v>
      </c>
    </row>
    <row r="43" spans="1:15" x14ac:dyDescent="0.3">
      <c r="A43" s="9" t="s">
        <v>81</v>
      </c>
      <c r="B43" s="12">
        <v>47</v>
      </c>
      <c r="C43" s="13" t="s">
        <v>24</v>
      </c>
      <c r="D43" s="13" t="s">
        <v>17</v>
      </c>
      <c r="E43" s="12">
        <v>53490</v>
      </c>
      <c r="F43" s="13" t="s">
        <v>42</v>
      </c>
      <c r="G43" s="12">
        <v>10</v>
      </c>
      <c r="H43" s="12">
        <v>700</v>
      </c>
      <c r="I43" s="12">
        <v>7000</v>
      </c>
      <c r="J43" s="13" t="s">
        <v>33</v>
      </c>
      <c r="K43" s="13" t="s">
        <v>34</v>
      </c>
      <c r="L43" s="13" t="s">
        <v>21</v>
      </c>
      <c r="M43" s="13" t="s">
        <v>29</v>
      </c>
      <c r="N43" s="13" t="s">
        <v>35</v>
      </c>
      <c r="O43" s="21">
        <v>46083</v>
      </c>
    </row>
    <row r="44" spans="1:15" x14ac:dyDescent="0.3">
      <c r="A44" s="9" t="s">
        <v>82</v>
      </c>
      <c r="B44" s="12">
        <v>34</v>
      </c>
      <c r="C44" s="13" t="s">
        <v>16</v>
      </c>
      <c r="D44" s="13" t="s">
        <v>37</v>
      </c>
      <c r="E44" s="12">
        <v>74058</v>
      </c>
      <c r="F44" s="13" t="s">
        <v>42</v>
      </c>
      <c r="G44" s="12">
        <v>4</v>
      </c>
      <c r="H44" s="12">
        <v>1806</v>
      </c>
      <c r="I44" s="12">
        <v>7224</v>
      </c>
      <c r="J44" s="13" t="s">
        <v>27</v>
      </c>
      <c r="K44" s="13" t="s">
        <v>34</v>
      </c>
      <c r="L44" s="13" t="s">
        <v>28</v>
      </c>
      <c r="M44" s="13" t="s">
        <v>22</v>
      </c>
      <c r="N44" s="13" t="s">
        <v>35</v>
      </c>
      <c r="O44" s="21">
        <v>46044</v>
      </c>
    </row>
    <row r="45" spans="1:15" x14ac:dyDescent="0.3">
      <c r="A45" s="9" t="s">
        <v>83</v>
      </c>
      <c r="B45" s="12">
        <v>27</v>
      </c>
      <c r="C45" s="13" t="s">
        <v>24</v>
      </c>
      <c r="D45" s="13" t="s">
        <v>25</v>
      </c>
      <c r="E45" s="12">
        <v>39001</v>
      </c>
      <c r="F45" s="13" t="s">
        <v>26</v>
      </c>
      <c r="G45" s="12">
        <v>2</v>
      </c>
      <c r="H45" s="12">
        <v>3517</v>
      </c>
      <c r="I45" s="12">
        <v>7034</v>
      </c>
      <c r="J45" s="13" t="s">
        <v>33</v>
      </c>
      <c r="K45" s="13" t="s">
        <v>20</v>
      </c>
      <c r="L45" s="13" t="s">
        <v>28</v>
      </c>
      <c r="M45" s="13" t="s">
        <v>22</v>
      </c>
      <c r="N45" s="13" t="s">
        <v>35</v>
      </c>
      <c r="O45" s="21">
        <v>46071</v>
      </c>
    </row>
    <row r="46" spans="1:15" x14ac:dyDescent="0.3">
      <c r="A46" s="9" t="s">
        <v>84</v>
      </c>
      <c r="B46" s="12">
        <v>36</v>
      </c>
      <c r="C46" s="13" t="s">
        <v>16</v>
      </c>
      <c r="D46" s="13" t="s">
        <v>44</v>
      </c>
      <c r="E46" s="12">
        <v>59073</v>
      </c>
      <c r="F46" s="13" t="s">
        <v>26</v>
      </c>
      <c r="G46" s="12">
        <v>8</v>
      </c>
      <c r="H46" s="12">
        <v>3765</v>
      </c>
      <c r="I46" s="12">
        <v>30120</v>
      </c>
      <c r="J46" s="13" t="s">
        <v>27</v>
      </c>
      <c r="K46" s="13" t="s">
        <v>34</v>
      </c>
      <c r="L46" s="13" t="s">
        <v>21</v>
      </c>
      <c r="M46" s="13" t="s">
        <v>35</v>
      </c>
      <c r="N46" s="13" t="s">
        <v>35</v>
      </c>
      <c r="O46" s="21">
        <v>46100</v>
      </c>
    </row>
    <row r="47" spans="1:15" x14ac:dyDescent="0.3">
      <c r="A47" s="9" t="s">
        <v>85</v>
      </c>
      <c r="B47" s="12">
        <v>31</v>
      </c>
      <c r="C47" s="13" t="s">
        <v>24</v>
      </c>
      <c r="D47" s="13" t="s">
        <v>44</v>
      </c>
      <c r="E47" s="12">
        <v>25595</v>
      </c>
      <c r="F47" s="13" t="s">
        <v>38</v>
      </c>
      <c r="G47" s="12">
        <v>1</v>
      </c>
      <c r="H47" s="12">
        <v>2561</v>
      </c>
      <c r="I47" s="12">
        <v>2561</v>
      </c>
      <c r="J47" s="13" t="s">
        <v>19</v>
      </c>
      <c r="K47" s="13" t="s">
        <v>20</v>
      </c>
      <c r="L47" s="13" t="s">
        <v>28</v>
      </c>
      <c r="M47" s="13" t="s">
        <v>22</v>
      </c>
      <c r="N47" s="13" t="s">
        <v>22</v>
      </c>
      <c r="O47" s="21">
        <v>46032</v>
      </c>
    </row>
    <row r="48" spans="1:15" x14ac:dyDescent="0.3">
      <c r="A48" s="9" t="s">
        <v>86</v>
      </c>
      <c r="B48" s="12">
        <v>49</v>
      </c>
      <c r="C48" s="13" t="s">
        <v>24</v>
      </c>
      <c r="D48" s="13" t="s">
        <v>17</v>
      </c>
      <c r="E48" s="12">
        <v>28162</v>
      </c>
      <c r="F48" s="13" t="s">
        <v>42</v>
      </c>
      <c r="G48" s="12">
        <v>9</v>
      </c>
      <c r="H48" s="12">
        <v>3001</v>
      </c>
      <c r="I48" s="12">
        <v>27009</v>
      </c>
      <c r="J48" s="13" t="s">
        <v>27</v>
      </c>
      <c r="K48" s="13" t="s">
        <v>34</v>
      </c>
      <c r="L48" s="13" t="s">
        <v>28</v>
      </c>
      <c r="M48" s="13" t="s">
        <v>35</v>
      </c>
      <c r="N48" s="13" t="s">
        <v>35</v>
      </c>
      <c r="O48" s="21">
        <v>46043</v>
      </c>
    </row>
    <row r="49" spans="1:15" x14ac:dyDescent="0.3">
      <c r="A49" s="9" t="s">
        <v>87</v>
      </c>
      <c r="B49" s="12">
        <v>28</v>
      </c>
      <c r="C49" s="13" t="s">
        <v>24</v>
      </c>
      <c r="D49" s="13" t="s">
        <v>37</v>
      </c>
      <c r="E49" s="12">
        <v>78071</v>
      </c>
      <c r="F49" s="13" t="s">
        <v>18</v>
      </c>
      <c r="G49" s="12">
        <v>4</v>
      </c>
      <c r="H49" s="12">
        <v>3269</v>
      </c>
      <c r="I49" s="12">
        <v>13076</v>
      </c>
      <c r="J49" s="13" t="s">
        <v>27</v>
      </c>
      <c r="K49" s="13" t="s">
        <v>34</v>
      </c>
      <c r="L49" s="13" t="s">
        <v>21</v>
      </c>
      <c r="M49" s="13" t="s">
        <v>35</v>
      </c>
      <c r="N49" s="13" t="s">
        <v>29</v>
      </c>
      <c r="O49" s="21">
        <v>46035</v>
      </c>
    </row>
    <row r="50" spans="1:15" x14ac:dyDescent="0.3">
      <c r="A50" s="9" t="s">
        <v>88</v>
      </c>
      <c r="B50" s="12">
        <v>32</v>
      </c>
      <c r="C50" s="13" t="s">
        <v>24</v>
      </c>
      <c r="D50" s="13" t="s">
        <v>41</v>
      </c>
      <c r="E50" s="12">
        <v>95570</v>
      </c>
      <c r="F50" s="13" t="s">
        <v>38</v>
      </c>
      <c r="G50" s="12">
        <v>3</v>
      </c>
      <c r="H50" s="12">
        <v>598</v>
      </c>
      <c r="I50" s="12">
        <v>1794</v>
      </c>
      <c r="J50" s="13" t="s">
        <v>19</v>
      </c>
      <c r="K50" s="13" t="s">
        <v>20</v>
      </c>
      <c r="L50" s="13" t="s">
        <v>21</v>
      </c>
      <c r="M50" s="13" t="s">
        <v>22</v>
      </c>
      <c r="N50" s="13" t="s">
        <v>22</v>
      </c>
      <c r="O50" s="21">
        <v>46025</v>
      </c>
    </row>
    <row r="51" spans="1:15" x14ac:dyDescent="0.3">
      <c r="A51" s="9" t="s">
        <v>89</v>
      </c>
      <c r="B51" s="12">
        <v>30</v>
      </c>
      <c r="C51" s="13" t="s">
        <v>24</v>
      </c>
      <c r="D51" s="13" t="s">
        <v>41</v>
      </c>
      <c r="E51" s="12">
        <v>65952</v>
      </c>
      <c r="F51" s="13" t="s">
        <v>38</v>
      </c>
      <c r="G51" s="12">
        <v>12</v>
      </c>
      <c r="H51" s="12">
        <v>4948</v>
      </c>
      <c r="I51" s="12">
        <v>59376</v>
      </c>
      <c r="J51" s="13" t="s">
        <v>39</v>
      </c>
      <c r="K51" s="13" t="s">
        <v>34</v>
      </c>
      <c r="L51" s="13" t="s">
        <v>28</v>
      </c>
      <c r="M51" s="13" t="s">
        <v>35</v>
      </c>
      <c r="N51" s="13" t="s">
        <v>29</v>
      </c>
      <c r="O51" s="21">
        <v>46109</v>
      </c>
    </row>
    <row r="52" spans="1:15" x14ac:dyDescent="0.3">
      <c r="A52" s="9" t="s">
        <v>90</v>
      </c>
      <c r="B52" s="12">
        <v>55</v>
      </c>
      <c r="C52" s="13" t="s">
        <v>16</v>
      </c>
      <c r="D52" s="13" t="s">
        <v>25</v>
      </c>
      <c r="E52" s="12">
        <v>36189</v>
      </c>
      <c r="F52" s="13" t="s">
        <v>26</v>
      </c>
      <c r="G52" s="12">
        <v>11</v>
      </c>
      <c r="H52" s="12">
        <v>4169</v>
      </c>
      <c r="I52" s="12">
        <v>45859</v>
      </c>
      <c r="J52" s="13" t="s">
        <v>27</v>
      </c>
      <c r="K52" s="13" t="s">
        <v>20</v>
      </c>
      <c r="L52" s="13" t="s">
        <v>28</v>
      </c>
      <c r="M52" s="13" t="s">
        <v>35</v>
      </c>
      <c r="N52" s="13" t="s">
        <v>35</v>
      </c>
      <c r="O52" s="21">
        <v>46096</v>
      </c>
    </row>
    <row r="53" spans="1:15" x14ac:dyDescent="0.3">
      <c r="A53" s="9" t="s">
        <v>91</v>
      </c>
      <c r="B53" s="12">
        <v>34</v>
      </c>
      <c r="C53" s="13" t="s">
        <v>24</v>
      </c>
      <c r="D53" s="13" t="s">
        <v>25</v>
      </c>
      <c r="E53" s="12">
        <v>82839</v>
      </c>
      <c r="F53" s="13" t="s">
        <v>26</v>
      </c>
      <c r="G53" s="12">
        <v>11</v>
      </c>
      <c r="H53" s="12">
        <v>3747</v>
      </c>
      <c r="I53" s="12">
        <v>41217</v>
      </c>
      <c r="J53" s="13" t="s">
        <v>27</v>
      </c>
      <c r="K53" s="13" t="s">
        <v>20</v>
      </c>
      <c r="L53" s="13" t="s">
        <v>28</v>
      </c>
      <c r="M53" s="13" t="s">
        <v>29</v>
      </c>
      <c r="N53" s="13" t="s">
        <v>29</v>
      </c>
      <c r="O53" s="21">
        <v>46111</v>
      </c>
    </row>
    <row r="54" spans="1:15" x14ac:dyDescent="0.3">
      <c r="A54" s="9" t="s">
        <v>92</v>
      </c>
      <c r="B54" s="12">
        <v>42</v>
      </c>
      <c r="C54" s="13" t="s">
        <v>16</v>
      </c>
      <c r="D54" s="13" t="s">
        <v>41</v>
      </c>
      <c r="E54" s="12">
        <v>79260</v>
      </c>
      <c r="F54" s="13" t="s">
        <v>32</v>
      </c>
      <c r="G54" s="12">
        <v>9</v>
      </c>
      <c r="H54" s="12">
        <v>3471</v>
      </c>
      <c r="I54" s="12">
        <v>31239</v>
      </c>
      <c r="J54" s="13" t="s">
        <v>33</v>
      </c>
      <c r="K54" s="13" t="s">
        <v>34</v>
      </c>
      <c r="L54" s="13" t="s">
        <v>21</v>
      </c>
      <c r="M54" s="13" t="s">
        <v>29</v>
      </c>
      <c r="N54" s="13" t="s">
        <v>22</v>
      </c>
      <c r="O54" s="21">
        <v>46057</v>
      </c>
    </row>
    <row r="55" spans="1:15" x14ac:dyDescent="0.3">
      <c r="A55" s="9" t="s">
        <v>93</v>
      </c>
      <c r="B55" s="12">
        <v>42</v>
      </c>
      <c r="C55" s="13" t="s">
        <v>24</v>
      </c>
      <c r="D55" s="13" t="s">
        <v>17</v>
      </c>
      <c r="E55" s="12">
        <v>98742</v>
      </c>
      <c r="F55" s="13" t="s">
        <v>38</v>
      </c>
      <c r="G55" s="12">
        <v>1</v>
      </c>
      <c r="H55" s="12">
        <v>3444</v>
      </c>
      <c r="I55" s="12">
        <v>3444</v>
      </c>
      <c r="J55" s="13" t="s">
        <v>19</v>
      </c>
      <c r="K55" s="13" t="s">
        <v>20</v>
      </c>
      <c r="L55" s="13" t="s">
        <v>28</v>
      </c>
      <c r="M55" s="13" t="s">
        <v>22</v>
      </c>
      <c r="N55" s="13" t="s">
        <v>22</v>
      </c>
      <c r="O55" s="21">
        <v>46028</v>
      </c>
    </row>
    <row r="56" spans="1:15" x14ac:dyDescent="0.3">
      <c r="A56" s="9" t="s">
        <v>94</v>
      </c>
      <c r="B56" s="12">
        <v>57</v>
      </c>
      <c r="C56" s="13" t="s">
        <v>16</v>
      </c>
      <c r="D56" s="13" t="s">
        <v>37</v>
      </c>
      <c r="E56" s="12">
        <v>37457</v>
      </c>
      <c r="F56" s="13" t="s">
        <v>42</v>
      </c>
      <c r="G56" s="12">
        <v>8</v>
      </c>
      <c r="H56" s="12">
        <v>3842</v>
      </c>
      <c r="I56" s="12">
        <v>30736</v>
      </c>
      <c r="J56" s="13" t="s">
        <v>39</v>
      </c>
      <c r="K56" s="13" t="s">
        <v>20</v>
      </c>
      <c r="L56" s="13" t="s">
        <v>28</v>
      </c>
      <c r="M56" s="13" t="s">
        <v>29</v>
      </c>
      <c r="N56" s="13" t="s">
        <v>35</v>
      </c>
      <c r="O56" s="21">
        <v>46049</v>
      </c>
    </row>
    <row r="57" spans="1:15" x14ac:dyDescent="0.3">
      <c r="A57" s="9" t="s">
        <v>95</v>
      </c>
      <c r="B57" s="12">
        <v>49</v>
      </c>
      <c r="C57" s="13" t="s">
        <v>24</v>
      </c>
      <c r="D57" s="13" t="s">
        <v>31</v>
      </c>
      <c r="E57" s="12">
        <v>84156</v>
      </c>
      <c r="F57" s="13" t="s">
        <v>32</v>
      </c>
      <c r="G57" s="12">
        <v>10</v>
      </c>
      <c r="H57" s="12">
        <v>1175</v>
      </c>
      <c r="I57" s="12">
        <v>11750</v>
      </c>
      <c r="J57" s="13" t="s">
        <v>19</v>
      </c>
      <c r="K57" s="13" t="s">
        <v>34</v>
      </c>
      <c r="L57" s="13" t="s">
        <v>28</v>
      </c>
      <c r="M57" s="13" t="s">
        <v>35</v>
      </c>
      <c r="N57" s="13" t="s">
        <v>29</v>
      </c>
      <c r="O57" s="21">
        <v>46039</v>
      </c>
    </row>
    <row r="58" spans="1:15" x14ac:dyDescent="0.3">
      <c r="A58" s="9" t="s">
        <v>96</v>
      </c>
      <c r="B58" s="12">
        <v>47</v>
      </c>
      <c r="C58" s="13" t="s">
        <v>16</v>
      </c>
      <c r="D58" s="13" t="s">
        <v>31</v>
      </c>
      <c r="E58" s="12">
        <v>57872</v>
      </c>
      <c r="F58" s="13" t="s">
        <v>26</v>
      </c>
      <c r="G58" s="12">
        <v>2</v>
      </c>
      <c r="H58" s="12">
        <v>3620</v>
      </c>
      <c r="I58" s="12">
        <v>7240</v>
      </c>
      <c r="J58" s="13" t="s">
        <v>27</v>
      </c>
      <c r="K58" s="13" t="s">
        <v>20</v>
      </c>
      <c r="L58" s="13" t="s">
        <v>21</v>
      </c>
      <c r="M58" s="13" t="s">
        <v>22</v>
      </c>
      <c r="N58" s="13" t="s">
        <v>29</v>
      </c>
      <c r="O58" s="21">
        <v>46097</v>
      </c>
    </row>
    <row r="59" spans="1:15" x14ac:dyDescent="0.3">
      <c r="A59" s="9" t="s">
        <v>97</v>
      </c>
      <c r="B59" s="12">
        <v>23</v>
      </c>
      <c r="C59" s="13" t="s">
        <v>16</v>
      </c>
      <c r="D59" s="13" t="s">
        <v>31</v>
      </c>
      <c r="E59" s="12">
        <v>76947</v>
      </c>
      <c r="F59" s="13" t="s">
        <v>38</v>
      </c>
      <c r="G59" s="12">
        <v>3</v>
      </c>
      <c r="H59" s="12">
        <v>4166</v>
      </c>
      <c r="I59" s="12">
        <v>12498</v>
      </c>
      <c r="J59" s="13" t="s">
        <v>27</v>
      </c>
      <c r="K59" s="13" t="s">
        <v>34</v>
      </c>
      <c r="L59" s="13" t="s">
        <v>28</v>
      </c>
      <c r="M59" s="13" t="s">
        <v>29</v>
      </c>
      <c r="N59" s="13" t="s">
        <v>29</v>
      </c>
      <c r="O59" s="21">
        <v>46101</v>
      </c>
    </row>
    <row r="60" spans="1:15" x14ac:dyDescent="0.3">
      <c r="A60" s="9" t="s">
        <v>98</v>
      </c>
      <c r="B60" s="12">
        <v>39</v>
      </c>
      <c r="C60" s="13" t="s">
        <v>24</v>
      </c>
      <c r="D60" s="13" t="s">
        <v>31</v>
      </c>
      <c r="E60" s="12">
        <v>27869</v>
      </c>
      <c r="F60" s="13" t="s">
        <v>38</v>
      </c>
      <c r="G60" s="12">
        <v>9</v>
      </c>
      <c r="H60" s="12">
        <v>1041</v>
      </c>
      <c r="I60" s="12">
        <v>9369</v>
      </c>
      <c r="J60" s="13" t="s">
        <v>33</v>
      </c>
      <c r="K60" s="13" t="s">
        <v>34</v>
      </c>
      <c r="L60" s="13" t="s">
        <v>28</v>
      </c>
      <c r="M60" s="13" t="s">
        <v>22</v>
      </c>
      <c r="N60" s="13" t="s">
        <v>22</v>
      </c>
      <c r="O60" s="21">
        <v>46095</v>
      </c>
    </row>
    <row r="61" spans="1:15" x14ac:dyDescent="0.3">
      <c r="A61" s="9" t="s">
        <v>99</v>
      </c>
      <c r="B61" s="12">
        <v>57</v>
      </c>
      <c r="C61" s="13" t="s">
        <v>16</v>
      </c>
      <c r="D61" s="13" t="s">
        <v>37</v>
      </c>
      <c r="E61" s="12">
        <v>63515</v>
      </c>
      <c r="F61" s="13" t="s">
        <v>42</v>
      </c>
      <c r="G61" s="12">
        <v>5</v>
      </c>
      <c r="H61" s="12">
        <v>4400</v>
      </c>
      <c r="I61" s="12">
        <v>22000</v>
      </c>
      <c r="J61" s="13" t="s">
        <v>39</v>
      </c>
      <c r="K61" s="13" t="s">
        <v>34</v>
      </c>
      <c r="L61" s="13" t="s">
        <v>21</v>
      </c>
      <c r="M61" s="13" t="s">
        <v>29</v>
      </c>
      <c r="N61" s="13" t="s">
        <v>35</v>
      </c>
      <c r="O61" s="21">
        <v>46055</v>
      </c>
    </row>
    <row r="62" spans="1:15" x14ac:dyDescent="0.3">
      <c r="A62" s="9" t="s">
        <v>100</v>
      </c>
      <c r="B62" s="12">
        <v>51</v>
      </c>
      <c r="C62" s="13" t="s">
        <v>16</v>
      </c>
      <c r="D62" s="13" t="s">
        <v>44</v>
      </c>
      <c r="E62" s="12">
        <v>58023</v>
      </c>
      <c r="F62" s="13" t="s">
        <v>26</v>
      </c>
      <c r="G62" s="12">
        <v>1</v>
      </c>
      <c r="H62" s="12">
        <v>3322</v>
      </c>
      <c r="I62" s="12">
        <v>3322</v>
      </c>
      <c r="J62" s="13" t="s">
        <v>33</v>
      </c>
      <c r="K62" s="13" t="s">
        <v>34</v>
      </c>
      <c r="L62" s="13" t="s">
        <v>21</v>
      </c>
      <c r="M62" s="13" t="s">
        <v>22</v>
      </c>
      <c r="N62" s="13" t="s">
        <v>35</v>
      </c>
      <c r="O62" s="21">
        <v>46096</v>
      </c>
    </row>
    <row r="63" spans="1:15" x14ac:dyDescent="0.3">
      <c r="A63" s="9" t="s">
        <v>101</v>
      </c>
      <c r="B63" s="12">
        <v>39</v>
      </c>
      <c r="C63" s="13" t="s">
        <v>24</v>
      </c>
      <c r="D63" s="13" t="s">
        <v>31</v>
      </c>
      <c r="E63" s="12">
        <v>92549</v>
      </c>
      <c r="F63" s="13" t="s">
        <v>38</v>
      </c>
      <c r="G63" s="12">
        <v>9</v>
      </c>
      <c r="H63" s="12">
        <v>2436</v>
      </c>
      <c r="I63" s="12">
        <v>21924</v>
      </c>
      <c r="J63" s="13" t="s">
        <v>39</v>
      </c>
      <c r="K63" s="13" t="s">
        <v>34</v>
      </c>
      <c r="L63" s="13" t="s">
        <v>28</v>
      </c>
      <c r="M63" s="13" t="s">
        <v>22</v>
      </c>
      <c r="N63" s="13" t="s">
        <v>35</v>
      </c>
      <c r="O63" s="21">
        <v>46051</v>
      </c>
    </row>
    <row r="64" spans="1:15" x14ac:dyDescent="0.3">
      <c r="A64" s="9" t="s">
        <v>102</v>
      </c>
      <c r="B64" s="12">
        <v>50</v>
      </c>
      <c r="C64" s="13" t="s">
        <v>24</v>
      </c>
      <c r="D64" s="13" t="s">
        <v>31</v>
      </c>
      <c r="E64" s="12">
        <v>92035</v>
      </c>
      <c r="F64" s="13" t="s">
        <v>18</v>
      </c>
      <c r="G64" s="12">
        <v>9</v>
      </c>
      <c r="H64" s="12">
        <v>2350</v>
      </c>
      <c r="I64" s="12">
        <v>21150</v>
      </c>
      <c r="J64" s="13" t="s">
        <v>19</v>
      </c>
      <c r="K64" s="13" t="s">
        <v>20</v>
      </c>
      <c r="L64" s="13" t="s">
        <v>21</v>
      </c>
      <c r="M64" s="13" t="s">
        <v>22</v>
      </c>
      <c r="N64" s="13" t="s">
        <v>29</v>
      </c>
      <c r="O64" s="21">
        <v>46108</v>
      </c>
    </row>
    <row r="65" spans="1:15" x14ac:dyDescent="0.3">
      <c r="A65" s="9" t="s">
        <v>103</v>
      </c>
      <c r="B65" s="12">
        <v>51</v>
      </c>
      <c r="C65" s="13" t="s">
        <v>16</v>
      </c>
      <c r="D65" s="13" t="s">
        <v>31</v>
      </c>
      <c r="E65" s="12">
        <v>53370</v>
      </c>
      <c r="F65" s="13" t="s">
        <v>32</v>
      </c>
      <c r="G65" s="12">
        <v>10</v>
      </c>
      <c r="H65" s="12">
        <v>4029</v>
      </c>
      <c r="I65" s="12">
        <v>40290</v>
      </c>
      <c r="J65" s="13" t="s">
        <v>33</v>
      </c>
      <c r="K65" s="13" t="s">
        <v>34</v>
      </c>
      <c r="L65" s="13" t="s">
        <v>28</v>
      </c>
      <c r="M65" s="13" t="s">
        <v>35</v>
      </c>
      <c r="N65" s="13" t="s">
        <v>22</v>
      </c>
      <c r="O65" s="21">
        <v>46111</v>
      </c>
    </row>
    <row r="66" spans="1:15" x14ac:dyDescent="0.3">
      <c r="A66" s="9" t="s">
        <v>104</v>
      </c>
      <c r="B66" s="12">
        <v>32</v>
      </c>
      <c r="C66" s="13" t="s">
        <v>16</v>
      </c>
      <c r="D66" s="13" t="s">
        <v>25</v>
      </c>
      <c r="E66" s="12">
        <v>50257</v>
      </c>
      <c r="F66" s="13" t="s">
        <v>42</v>
      </c>
      <c r="G66" s="12">
        <v>1</v>
      </c>
      <c r="H66" s="12">
        <v>4005</v>
      </c>
      <c r="I66" s="12">
        <v>4005</v>
      </c>
      <c r="J66" s="13" t="s">
        <v>27</v>
      </c>
      <c r="K66" s="13" t="s">
        <v>20</v>
      </c>
      <c r="L66" s="13" t="s">
        <v>28</v>
      </c>
      <c r="M66" s="13" t="s">
        <v>35</v>
      </c>
      <c r="N66" s="13" t="s">
        <v>22</v>
      </c>
      <c r="O66" s="21">
        <v>46081</v>
      </c>
    </row>
    <row r="67" spans="1:15" x14ac:dyDescent="0.3">
      <c r="A67" s="9" t="s">
        <v>105</v>
      </c>
      <c r="B67" s="12">
        <v>38</v>
      </c>
      <c r="C67" s="13" t="s">
        <v>16</v>
      </c>
      <c r="D67" s="13" t="s">
        <v>25</v>
      </c>
      <c r="E67" s="12">
        <v>29041</v>
      </c>
      <c r="F67" s="13" t="s">
        <v>26</v>
      </c>
      <c r="G67" s="12">
        <v>7</v>
      </c>
      <c r="H67" s="12">
        <v>4544</v>
      </c>
      <c r="I67" s="12">
        <v>31808</v>
      </c>
      <c r="J67" s="13" t="s">
        <v>19</v>
      </c>
      <c r="K67" s="13" t="s">
        <v>20</v>
      </c>
      <c r="L67" s="13" t="s">
        <v>28</v>
      </c>
      <c r="M67" s="13" t="s">
        <v>22</v>
      </c>
      <c r="N67" s="13" t="s">
        <v>35</v>
      </c>
      <c r="O67" s="21">
        <v>46102</v>
      </c>
    </row>
    <row r="68" spans="1:15" x14ac:dyDescent="0.3">
      <c r="A68" s="9" t="s">
        <v>106</v>
      </c>
      <c r="B68" s="12">
        <v>33</v>
      </c>
      <c r="C68" s="13" t="s">
        <v>24</v>
      </c>
      <c r="D68" s="13" t="s">
        <v>37</v>
      </c>
      <c r="E68" s="12">
        <v>36981</v>
      </c>
      <c r="F68" s="13" t="s">
        <v>18</v>
      </c>
      <c r="G68" s="12">
        <v>4</v>
      </c>
      <c r="H68" s="12">
        <v>1463</v>
      </c>
      <c r="I68" s="12">
        <v>5852</v>
      </c>
      <c r="J68" s="13" t="s">
        <v>33</v>
      </c>
      <c r="K68" s="13" t="s">
        <v>20</v>
      </c>
      <c r="L68" s="13" t="s">
        <v>28</v>
      </c>
      <c r="M68" s="13" t="s">
        <v>35</v>
      </c>
      <c r="N68" s="13" t="s">
        <v>22</v>
      </c>
      <c r="O68" s="21">
        <v>46059</v>
      </c>
    </row>
    <row r="69" spans="1:15" x14ac:dyDescent="0.3">
      <c r="A69" s="9" t="s">
        <v>107</v>
      </c>
      <c r="B69" s="12">
        <v>28</v>
      </c>
      <c r="C69" s="13" t="s">
        <v>16</v>
      </c>
      <c r="D69" s="13" t="s">
        <v>17</v>
      </c>
      <c r="E69" s="12">
        <v>69372</v>
      </c>
      <c r="F69" s="13" t="s">
        <v>38</v>
      </c>
      <c r="G69" s="12">
        <v>8</v>
      </c>
      <c r="H69" s="12">
        <v>2856</v>
      </c>
      <c r="I69" s="12">
        <v>22848</v>
      </c>
      <c r="J69" s="13" t="s">
        <v>19</v>
      </c>
      <c r="K69" s="13" t="s">
        <v>20</v>
      </c>
      <c r="L69" s="13" t="s">
        <v>21</v>
      </c>
      <c r="M69" s="13" t="s">
        <v>35</v>
      </c>
      <c r="N69" s="13" t="s">
        <v>22</v>
      </c>
      <c r="O69" s="21">
        <v>46077</v>
      </c>
    </row>
    <row r="70" spans="1:15" x14ac:dyDescent="0.3">
      <c r="A70" s="9" t="s">
        <v>108</v>
      </c>
      <c r="B70" s="12">
        <v>30</v>
      </c>
      <c r="C70" s="13" t="s">
        <v>24</v>
      </c>
      <c r="D70" s="13" t="s">
        <v>44</v>
      </c>
      <c r="E70" s="12">
        <v>82273</v>
      </c>
      <c r="F70" s="13" t="s">
        <v>42</v>
      </c>
      <c r="G70" s="12">
        <v>10</v>
      </c>
      <c r="H70" s="12">
        <v>3124</v>
      </c>
      <c r="I70" s="12">
        <v>31240</v>
      </c>
      <c r="J70" s="13" t="s">
        <v>27</v>
      </c>
      <c r="K70" s="13" t="s">
        <v>20</v>
      </c>
      <c r="L70" s="13" t="s">
        <v>21</v>
      </c>
      <c r="M70" s="13" t="s">
        <v>29</v>
      </c>
      <c r="N70" s="13" t="s">
        <v>35</v>
      </c>
      <c r="O70" s="21">
        <v>46033</v>
      </c>
    </row>
    <row r="71" spans="1:15" x14ac:dyDescent="0.3">
      <c r="A71" s="9" t="s">
        <v>109</v>
      </c>
      <c r="B71" s="12">
        <v>36</v>
      </c>
      <c r="C71" s="13" t="s">
        <v>16</v>
      </c>
      <c r="D71" s="13" t="s">
        <v>41</v>
      </c>
      <c r="E71" s="12">
        <v>40832</v>
      </c>
      <c r="F71" s="13" t="s">
        <v>42</v>
      </c>
      <c r="G71" s="12">
        <v>12</v>
      </c>
      <c r="H71" s="12">
        <v>3378</v>
      </c>
      <c r="I71" s="12">
        <v>40536</v>
      </c>
      <c r="J71" s="13" t="s">
        <v>27</v>
      </c>
      <c r="K71" s="13" t="s">
        <v>34</v>
      </c>
      <c r="L71" s="13" t="s">
        <v>21</v>
      </c>
      <c r="M71" s="13" t="s">
        <v>29</v>
      </c>
      <c r="N71" s="13" t="s">
        <v>22</v>
      </c>
      <c r="O71" s="21">
        <v>46095</v>
      </c>
    </row>
    <row r="72" spans="1:15" x14ac:dyDescent="0.3">
      <c r="A72" s="9" t="s">
        <v>110</v>
      </c>
      <c r="B72" s="12">
        <v>58</v>
      </c>
      <c r="C72" s="13" t="s">
        <v>24</v>
      </c>
      <c r="D72" s="13" t="s">
        <v>37</v>
      </c>
      <c r="E72" s="12">
        <v>42893</v>
      </c>
      <c r="F72" s="13" t="s">
        <v>18</v>
      </c>
      <c r="G72" s="12">
        <v>2</v>
      </c>
      <c r="H72" s="12">
        <v>2380</v>
      </c>
      <c r="I72" s="12">
        <v>4760</v>
      </c>
      <c r="J72" s="13" t="s">
        <v>39</v>
      </c>
      <c r="K72" s="13" t="s">
        <v>20</v>
      </c>
      <c r="L72" s="13" t="s">
        <v>28</v>
      </c>
      <c r="M72" s="13" t="s">
        <v>29</v>
      </c>
      <c r="N72" s="13" t="s">
        <v>35</v>
      </c>
      <c r="O72" s="21">
        <v>46031</v>
      </c>
    </row>
    <row r="73" spans="1:15" x14ac:dyDescent="0.3">
      <c r="A73" s="9" t="s">
        <v>111</v>
      </c>
      <c r="B73" s="12">
        <v>34</v>
      </c>
      <c r="C73" s="13" t="s">
        <v>24</v>
      </c>
      <c r="D73" s="13" t="s">
        <v>17</v>
      </c>
      <c r="E73" s="12">
        <v>28526</v>
      </c>
      <c r="F73" s="13" t="s">
        <v>38</v>
      </c>
      <c r="G73" s="12">
        <v>2</v>
      </c>
      <c r="H73" s="12">
        <v>2054</v>
      </c>
      <c r="I73" s="12">
        <v>4108</v>
      </c>
      <c r="J73" s="13" t="s">
        <v>33</v>
      </c>
      <c r="K73" s="13" t="s">
        <v>20</v>
      </c>
      <c r="L73" s="13" t="s">
        <v>21</v>
      </c>
      <c r="M73" s="13" t="s">
        <v>22</v>
      </c>
      <c r="N73" s="13" t="s">
        <v>35</v>
      </c>
      <c r="O73" s="21">
        <v>46110</v>
      </c>
    </row>
    <row r="74" spans="1:15" x14ac:dyDescent="0.3">
      <c r="A74" s="9" t="s">
        <v>112</v>
      </c>
      <c r="B74" s="12">
        <v>38</v>
      </c>
      <c r="C74" s="13" t="s">
        <v>24</v>
      </c>
      <c r="D74" s="13" t="s">
        <v>41</v>
      </c>
      <c r="E74" s="12">
        <v>84687</v>
      </c>
      <c r="F74" s="13" t="s">
        <v>18</v>
      </c>
      <c r="G74" s="12">
        <v>12</v>
      </c>
      <c r="H74" s="12">
        <v>4075</v>
      </c>
      <c r="I74" s="12">
        <v>48900</v>
      </c>
      <c r="J74" s="13" t="s">
        <v>19</v>
      </c>
      <c r="K74" s="13" t="s">
        <v>34</v>
      </c>
      <c r="L74" s="13" t="s">
        <v>21</v>
      </c>
      <c r="M74" s="13" t="s">
        <v>29</v>
      </c>
      <c r="N74" s="13" t="s">
        <v>22</v>
      </c>
      <c r="O74" s="21">
        <v>46054</v>
      </c>
    </row>
    <row r="75" spans="1:15" x14ac:dyDescent="0.3">
      <c r="A75" s="9" t="s">
        <v>113</v>
      </c>
      <c r="B75" s="12">
        <v>37</v>
      </c>
      <c r="C75" s="13" t="s">
        <v>24</v>
      </c>
      <c r="D75" s="13" t="s">
        <v>17</v>
      </c>
      <c r="E75" s="12">
        <v>44646</v>
      </c>
      <c r="F75" s="13" t="s">
        <v>18</v>
      </c>
      <c r="G75" s="12">
        <v>12</v>
      </c>
      <c r="H75" s="12">
        <v>2321</v>
      </c>
      <c r="I75" s="12">
        <v>27852</v>
      </c>
      <c r="J75" s="13" t="s">
        <v>39</v>
      </c>
      <c r="K75" s="13" t="s">
        <v>20</v>
      </c>
      <c r="L75" s="13" t="s">
        <v>28</v>
      </c>
      <c r="M75" s="13" t="s">
        <v>22</v>
      </c>
      <c r="N75" s="13" t="s">
        <v>22</v>
      </c>
      <c r="O75" s="21">
        <v>46048</v>
      </c>
    </row>
    <row r="76" spans="1:15" x14ac:dyDescent="0.3">
      <c r="A76" s="9" t="s">
        <v>114</v>
      </c>
      <c r="B76" s="12">
        <v>42</v>
      </c>
      <c r="C76" s="13" t="s">
        <v>16</v>
      </c>
      <c r="D76" s="13" t="s">
        <v>31</v>
      </c>
      <c r="E76" s="12">
        <v>84925</v>
      </c>
      <c r="F76" s="13" t="s">
        <v>38</v>
      </c>
      <c r="G76" s="12">
        <v>9</v>
      </c>
      <c r="H76" s="12">
        <v>941</v>
      </c>
      <c r="I76" s="12">
        <v>8469</v>
      </c>
      <c r="J76" s="13" t="s">
        <v>39</v>
      </c>
      <c r="K76" s="13" t="s">
        <v>20</v>
      </c>
      <c r="L76" s="13" t="s">
        <v>28</v>
      </c>
      <c r="M76" s="13" t="s">
        <v>35</v>
      </c>
      <c r="N76" s="13" t="s">
        <v>22</v>
      </c>
      <c r="O76" s="21">
        <v>46032</v>
      </c>
    </row>
    <row r="77" spans="1:15" x14ac:dyDescent="0.3">
      <c r="A77" s="9" t="s">
        <v>115</v>
      </c>
      <c r="B77" s="12">
        <v>55</v>
      </c>
      <c r="C77" s="13" t="s">
        <v>24</v>
      </c>
      <c r="D77" s="13" t="s">
        <v>31</v>
      </c>
      <c r="E77" s="12">
        <v>36675</v>
      </c>
      <c r="F77" s="13" t="s">
        <v>18</v>
      </c>
      <c r="G77" s="12">
        <v>1</v>
      </c>
      <c r="H77" s="12">
        <v>2705</v>
      </c>
      <c r="I77" s="12">
        <v>2705</v>
      </c>
      <c r="J77" s="13" t="s">
        <v>19</v>
      </c>
      <c r="K77" s="13" t="s">
        <v>20</v>
      </c>
      <c r="L77" s="13" t="s">
        <v>28</v>
      </c>
      <c r="M77" s="13" t="s">
        <v>22</v>
      </c>
      <c r="N77" s="13" t="s">
        <v>35</v>
      </c>
      <c r="O77" s="21">
        <v>46078</v>
      </c>
    </row>
    <row r="78" spans="1:15" x14ac:dyDescent="0.3">
      <c r="A78" s="9" t="s">
        <v>116</v>
      </c>
      <c r="B78" s="12">
        <v>36</v>
      </c>
      <c r="C78" s="13" t="s">
        <v>24</v>
      </c>
      <c r="D78" s="13" t="s">
        <v>17</v>
      </c>
      <c r="E78" s="12">
        <v>59800</v>
      </c>
      <c r="F78" s="13" t="s">
        <v>18</v>
      </c>
      <c r="G78" s="12">
        <v>3</v>
      </c>
      <c r="H78" s="12">
        <v>1287</v>
      </c>
      <c r="I78" s="12">
        <v>3861</v>
      </c>
      <c r="J78" s="13" t="s">
        <v>39</v>
      </c>
      <c r="K78" s="13" t="s">
        <v>34</v>
      </c>
      <c r="L78" s="13" t="s">
        <v>21</v>
      </c>
      <c r="M78" s="13" t="s">
        <v>29</v>
      </c>
      <c r="N78" s="13" t="s">
        <v>22</v>
      </c>
      <c r="O78" s="21">
        <v>46054</v>
      </c>
    </row>
    <row r="79" spans="1:15" x14ac:dyDescent="0.3">
      <c r="A79" s="9" t="s">
        <v>117</v>
      </c>
      <c r="B79" s="12">
        <v>29</v>
      </c>
      <c r="C79" s="13" t="s">
        <v>16</v>
      </c>
      <c r="D79" s="13" t="s">
        <v>37</v>
      </c>
      <c r="E79" s="12">
        <v>35331</v>
      </c>
      <c r="F79" s="13" t="s">
        <v>38</v>
      </c>
      <c r="G79" s="12">
        <v>4</v>
      </c>
      <c r="H79" s="12">
        <v>2805</v>
      </c>
      <c r="I79" s="12">
        <v>11220</v>
      </c>
      <c r="J79" s="13" t="s">
        <v>19</v>
      </c>
      <c r="K79" s="13" t="s">
        <v>34</v>
      </c>
      <c r="L79" s="13" t="s">
        <v>28</v>
      </c>
      <c r="M79" s="13" t="s">
        <v>29</v>
      </c>
      <c r="N79" s="13" t="s">
        <v>22</v>
      </c>
      <c r="O79" s="21">
        <v>46067</v>
      </c>
    </row>
    <row r="80" spans="1:15" x14ac:dyDescent="0.3">
      <c r="A80" s="9" t="s">
        <v>118</v>
      </c>
      <c r="B80" s="12">
        <v>33</v>
      </c>
      <c r="C80" s="13" t="s">
        <v>16</v>
      </c>
      <c r="D80" s="13" t="s">
        <v>41</v>
      </c>
      <c r="E80" s="12">
        <v>88305</v>
      </c>
      <c r="F80" s="13" t="s">
        <v>18</v>
      </c>
      <c r="G80" s="12">
        <v>4</v>
      </c>
      <c r="H80" s="12">
        <v>981</v>
      </c>
      <c r="I80" s="12">
        <v>3924</v>
      </c>
      <c r="J80" s="13" t="s">
        <v>19</v>
      </c>
      <c r="K80" s="13" t="s">
        <v>20</v>
      </c>
      <c r="L80" s="13" t="s">
        <v>28</v>
      </c>
      <c r="M80" s="13" t="s">
        <v>35</v>
      </c>
      <c r="N80" s="13" t="s">
        <v>35</v>
      </c>
      <c r="O80" s="21">
        <v>46105</v>
      </c>
    </row>
    <row r="81" spans="1:15" x14ac:dyDescent="0.3">
      <c r="A81" s="9" t="s">
        <v>119</v>
      </c>
      <c r="B81" s="12">
        <v>54</v>
      </c>
      <c r="C81" s="13" t="s">
        <v>24</v>
      </c>
      <c r="D81" s="13" t="s">
        <v>17</v>
      </c>
      <c r="E81" s="12">
        <v>36873</v>
      </c>
      <c r="F81" s="13" t="s">
        <v>42</v>
      </c>
      <c r="G81" s="12">
        <v>2</v>
      </c>
      <c r="H81" s="12">
        <v>2126</v>
      </c>
      <c r="I81" s="12">
        <v>4252</v>
      </c>
      <c r="J81" s="13" t="s">
        <v>33</v>
      </c>
      <c r="K81" s="13" t="s">
        <v>34</v>
      </c>
      <c r="L81" s="13" t="s">
        <v>21</v>
      </c>
      <c r="M81" s="13" t="s">
        <v>22</v>
      </c>
      <c r="N81" s="13" t="s">
        <v>29</v>
      </c>
      <c r="O81" s="21">
        <v>46087</v>
      </c>
    </row>
    <row r="82" spans="1:15" x14ac:dyDescent="0.3">
      <c r="A82" s="9" t="s">
        <v>120</v>
      </c>
      <c r="B82" s="12">
        <v>26</v>
      </c>
      <c r="C82" s="13" t="s">
        <v>16</v>
      </c>
      <c r="D82" s="13" t="s">
        <v>41</v>
      </c>
      <c r="E82" s="12">
        <v>39494</v>
      </c>
      <c r="F82" s="13" t="s">
        <v>18</v>
      </c>
      <c r="G82" s="12">
        <v>6</v>
      </c>
      <c r="H82" s="12">
        <v>3046</v>
      </c>
      <c r="I82" s="12">
        <v>18276</v>
      </c>
      <c r="J82" s="13" t="s">
        <v>33</v>
      </c>
      <c r="K82" s="13" t="s">
        <v>34</v>
      </c>
      <c r="L82" s="13" t="s">
        <v>28</v>
      </c>
      <c r="M82" s="13" t="s">
        <v>29</v>
      </c>
      <c r="N82" s="13" t="s">
        <v>35</v>
      </c>
      <c r="O82" s="21">
        <v>46098</v>
      </c>
    </row>
    <row r="83" spans="1:15" x14ac:dyDescent="0.3">
      <c r="A83" s="9" t="s">
        <v>121</v>
      </c>
      <c r="B83" s="12">
        <v>41</v>
      </c>
      <c r="C83" s="13" t="s">
        <v>16</v>
      </c>
      <c r="D83" s="13" t="s">
        <v>25</v>
      </c>
      <c r="E83" s="12">
        <v>54554</v>
      </c>
      <c r="F83" s="13" t="s">
        <v>32</v>
      </c>
      <c r="G83" s="12">
        <v>2</v>
      </c>
      <c r="H83" s="12">
        <v>4328</v>
      </c>
      <c r="I83" s="12">
        <v>8656</v>
      </c>
      <c r="J83" s="13" t="s">
        <v>19</v>
      </c>
      <c r="K83" s="13" t="s">
        <v>34</v>
      </c>
      <c r="L83" s="13" t="s">
        <v>28</v>
      </c>
      <c r="M83" s="13" t="s">
        <v>22</v>
      </c>
      <c r="N83" s="13" t="s">
        <v>22</v>
      </c>
      <c r="O83" s="21">
        <v>46038</v>
      </c>
    </row>
    <row r="84" spans="1:15" x14ac:dyDescent="0.3">
      <c r="A84" s="9" t="s">
        <v>122</v>
      </c>
      <c r="B84" s="12">
        <v>34</v>
      </c>
      <c r="C84" s="13" t="s">
        <v>16</v>
      </c>
      <c r="D84" s="13" t="s">
        <v>31</v>
      </c>
      <c r="E84" s="12">
        <v>85019</v>
      </c>
      <c r="F84" s="13" t="s">
        <v>42</v>
      </c>
      <c r="G84" s="12">
        <v>11</v>
      </c>
      <c r="H84" s="12">
        <v>4643</v>
      </c>
      <c r="I84" s="12">
        <v>51073</v>
      </c>
      <c r="J84" s="13" t="s">
        <v>27</v>
      </c>
      <c r="K84" s="13" t="s">
        <v>34</v>
      </c>
      <c r="L84" s="13" t="s">
        <v>21</v>
      </c>
      <c r="M84" s="13" t="s">
        <v>29</v>
      </c>
      <c r="N84" s="13" t="s">
        <v>35</v>
      </c>
      <c r="O84" s="21">
        <v>46102</v>
      </c>
    </row>
    <row r="85" spans="1:15" x14ac:dyDescent="0.3">
      <c r="A85" s="9" t="s">
        <v>123</v>
      </c>
      <c r="B85" s="12">
        <v>38</v>
      </c>
      <c r="C85" s="13" t="s">
        <v>16</v>
      </c>
      <c r="D85" s="13" t="s">
        <v>37</v>
      </c>
      <c r="E85" s="12">
        <v>47328</v>
      </c>
      <c r="F85" s="13" t="s">
        <v>32</v>
      </c>
      <c r="G85" s="12">
        <v>9</v>
      </c>
      <c r="H85" s="12">
        <v>4194</v>
      </c>
      <c r="I85" s="12">
        <v>37746</v>
      </c>
      <c r="J85" s="13" t="s">
        <v>27</v>
      </c>
      <c r="K85" s="13" t="s">
        <v>20</v>
      </c>
      <c r="L85" s="13" t="s">
        <v>21</v>
      </c>
      <c r="M85" s="13" t="s">
        <v>35</v>
      </c>
      <c r="N85" s="13" t="s">
        <v>22</v>
      </c>
      <c r="O85" s="21">
        <v>46024</v>
      </c>
    </row>
    <row r="86" spans="1:15" x14ac:dyDescent="0.3">
      <c r="A86" s="9" t="s">
        <v>124</v>
      </c>
      <c r="B86" s="12">
        <v>44</v>
      </c>
      <c r="C86" s="13" t="s">
        <v>24</v>
      </c>
      <c r="D86" s="13" t="s">
        <v>25</v>
      </c>
      <c r="E86" s="12">
        <v>70223</v>
      </c>
      <c r="F86" s="13" t="s">
        <v>38</v>
      </c>
      <c r="G86" s="12">
        <v>10</v>
      </c>
      <c r="H86" s="12">
        <v>3845</v>
      </c>
      <c r="I86" s="12">
        <v>38450</v>
      </c>
      <c r="J86" s="13" t="s">
        <v>33</v>
      </c>
      <c r="K86" s="13" t="s">
        <v>34</v>
      </c>
      <c r="L86" s="13" t="s">
        <v>21</v>
      </c>
      <c r="M86" s="13" t="s">
        <v>35</v>
      </c>
      <c r="N86" s="13" t="s">
        <v>35</v>
      </c>
      <c r="O86" s="21">
        <v>46081</v>
      </c>
    </row>
    <row r="87" spans="1:15" x14ac:dyDescent="0.3">
      <c r="A87" s="9" t="s">
        <v>125</v>
      </c>
      <c r="B87" s="12">
        <v>59</v>
      </c>
      <c r="C87" s="13" t="s">
        <v>24</v>
      </c>
      <c r="D87" s="13" t="s">
        <v>25</v>
      </c>
      <c r="E87" s="12">
        <v>33996</v>
      </c>
      <c r="F87" s="13" t="s">
        <v>18</v>
      </c>
      <c r="G87" s="12">
        <v>10</v>
      </c>
      <c r="H87" s="12">
        <v>4777</v>
      </c>
      <c r="I87" s="12">
        <v>47770</v>
      </c>
      <c r="J87" s="13" t="s">
        <v>39</v>
      </c>
      <c r="K87" s="13" t="s">
        <v>34</v>
      </c>
      <c r="L87" s="13" t="s">
        <v>28</v>
      </c>
      <c r="M87" s="13" t="s">
        <v>22</v>
      </c>
      <c r="N87" s="13" t="s">
        <v>35</v>
      </c>
      <c r="O87" s="21">
        <v>46096</v>
      </c>
    </row>
    <row r="88" spans="1:15" x14ac:dyDescent="0.3">
      <c r="A88" s="9" t="s">
        <v>126</v>
      </c>
      <c r="B88" s="12">
        <v>40</v>
      </c>
      <c r="C88" s="13" t="s">
        <v>16</v>
      </c>
      <c r="D88" s="13" t="s">
        <v>44</v>
      </c>
      <c r="E88" s="12">
        <v>56960</v>
      </c>
      <c r="F88" s="13" t="s">
        <v>26</v>
      </c>
      <c r="G88" s="12">
        <v>8</v>
      </c>
      <c r="H88" s="12">
        <v>1652</v>
      </c>
      <c r="I88" s="12">
        <v>13216</v>
      </c>
      <c r="J88" s="13" t="s">
        <v>27</v>
      </c>
      <c r="K88" s="13" t="s">
        <v>20</v>
      </c>
      <c r="L88" s="13" t="s">
        <v>21</v>
      </c>
      <c r="M88" s="13" t="s">
        <v>22</v>
      </c>
      <c r="N88" s="13" t="s">
        <v>29</v>
      </c>
      <c r="O88" s="21">
        <v>46066</v>
      </c>
    </row>
    <row r="89" spans="1:15" x14ac:dyDescent="0.3">
      <c r="A89" s="9" t="s">
        <v>127</v>
      </c>
      <c r="B89" s="12">
        <v>57</v>
      </c>
      <c r="C89" s="13" t="s">
        <v>24</v>
      </c>
      <c r="D89" s="13" t="s">
        <v>17</v>
      </c>
      <c r="E89" s="12">
        <v>33387</v>
      </c>
      <c r="F89" s="13" t="s">
        <v>18</v>
      </c>
      <c r="G89" s="12">
        <v>4</v>
      </c>
      <c r="H89" s="12">
        <v>3492</v>
      </c>
      <c r="I89" s="12">
        <v>13968</v>
      </c>
      <c r="J89" s="13" t="s">
        <v>33</v>
      </c>
      <c r="K89" s="13" t="s">
        <v>34</v>
      </c>
      <c r="L89" s="13" t="s">
        <v>28</v>
      </c>
      <c r="M89" s="13" t="s">
        <v>29</v>
      </c>
      <c r="N89" s="13" t="s">
        <v>35</v>
      </c>
      <c r="O89" s="21">
        <v>46055</v>
      </c>
    </row>
    <row r="90" spans="1:15" x14ac:dyDescent="0.3">
      <c r="A90" s="9" t="s">
        <v>128</v>
      </c>
      <c r="B90" s="12">
        <v>25</v>
      </c>
      <c r="C90" s="13" t="s">
        <v>24</v>
      </c>
      <c r="D90" s="13" t="s">
        <v>37</v>
      </c>
      <c r="E90" s="12">
        <v>62134</v>
      </c>
      <c r="F90" s="13" t="s">
        <v>38</v>
      </c>
      <c r="G90" s="12">
        <v>4</v>
      </c>
      <c r="H90" s="12">
        <v>4278</v>
      </c>
      <c r="I90" s="12">
        <v>17112</v>
      </c>
      <c r="J90" s="13" t="s">
        <v>33</v>
      </c>
      <c r="K90" s="13" t="s">
        <v>20</v>
      </c>
      <c r="L90" s="13" t="s">
        <v>28</v>
      </c>
      <c r="M90" s="13" t="s">
        <v>35</v>
      </c>
      <c r="N90" s="13" t="s">
        <v>29</v>
      </c>
      <c r="O90" s="21">
        <v>46035</v>
      </c>
    </row>
    <row r="91" spans="1:15" x14ac:dyDescent="0.3">
      <c r="A91" s="9" t="s">
        <v>129</v>
      </c>
      <c r="B91" s="12">
        <v>60</v>
      </c>
      <c r="C91" s="13" t="s">
        <v>24</v>
      </c>
      <c r="D91" s="13" t="s">
        <v>44</v>
      </c>
      <c r="E91" s="12">
        <v>35898</v>
      </c>
      <c r="F91" s="13" t="s">
        <v>32</v>
      </c>
      <c r="G91" s="12">
        <v>1</v>
      </c>
      <c r="H91" s="12">
        <v>2475</v>
      </c>
      <c r="I91" s="12">
        <v>2475</v>
      </c>
      <c r="J91" s="13" t="s">
        <v>33</v>
      </c>
      <c r="K91" s="13" t="s">
        <v>34</v>
      </c>
      <c r="L91" s="13" t="s">
        <v>21</v>
      </c>
      <c r="M91" s="13" t="s">
        <v>22</v>
      </c>
      <c r="N91" s="13" t="s">
        <v>22</v>
      </c>
      <c r="O91" s="21">
        <v>46097</v>
      </c>
    </row>
    <row r="92" spans="1:15" x14ac:dyDescent="0.3">
      <c r="A92" s="9" t="s">
        <v>130</v>
      </c>
      <c r="B92" s="12">
        <v>23</v>
      </c>
      <c r="C92" s="13" t="s">
        <v>16</v>
      </c>
      <c r="D92" s="13" t="s">
        <v>37</v>
      </c>
      <c r="E92" s="12">
        <v>63182</v>
      </c>
      <c r="F92" s="13" t="s">
        <v>38</v>
      </c>
      <c r="G92" s="12">
        <v>1</v>
      </c>
      <c r="H92" s="12">
        <v>3429</v>
      </c>
      <c r="I92" s="12">
        <v>3429</v>
      </c>
      <c r="J92" s="13" t="s">
        <v>19</v>
      </c>
      <c r="K92" s="13" t="s">
        <v>34</v>
      </c>
      <c r="L92" s="13" t="s">
        <v>21</v>
      </c>
      <c r="M92" s="13" t="s">
        <v>22</v>
      </c>
      <c r="N92" s="13" t="s">
        <v>22</v>
      </c>
      <c r="O92" s="21">
        <v>46099</v>
      </c>
    </row>
    <row r="93" spans="1:15" x14ac:dyDescent="0.3">
      <c r="A93" s="9" t="s">
        <v>131</v>
      </c>
      <c r="B93" s="12">
        <v>33</v>
      </c>
      <c r="C93" s="13" t="s">
        <v>16</v>
      </c>
      <c r="D93" s="13" t="s">
        <v>25</v>
      </c>
      <c r="E93" s="12">
        <v>46813</v>
      </c>
      <c r="F93" s="13" t="s">
        <v>18</v>
      </c>
      <c r="G93" s="12">
        <v>6</v>
      </c>
      <c r="H93" s="12">
        <v>3547</v>
      </c>
      <c r="I93" s="12">
        <v>21282</v>
      </c>
      <c r="J93" s="13" t="s">
        <v>27</v>
      </c>
      <c r="K93" s="13" t="s">
        <v>20</v>
      </c>
      <c r="L93" s="13" t="s">
        <v>28</v>
      </c>
      <c r="M93" s="13" t="s">
        <v>35</v>
      </c>
      <c r="N93" s="13" t="s">
        <v>35</v>
      </c>
      <c r="O93" s="21">
        <v>46063</v>
      </c>
    </row>
    <row r="94" spans="1:15" x14ac:dyDescent="0.3">
      <c r="A94" s="9" t="s">
        <v>132</v>
      </c>
      <c r="B94" s="12">
        <v>41</v>
      </c>
      <c r="C94" s="13" t="s">
        <v>16</v>
      </c>
      <c r="D94" s="13" t="s">
        <v>44</v>
      </c>
      <c r="E94" s="12">
        <v>80551</v>
      </c>
      <c r="F94" s="13" t="s">
        <v>32</v>
      </c>
      <c r="G94" s="12">
        <v>12</v>
      </c>
      <c r="H94" s="12">
        <v>3167</v>
      </c>
      <c r="I94" s="12">
        <v>38004</v>
      </c>
      <c r="J94" s="13" t="s">
        <v>33</v>
      </c>
      <c r="K94" s="13" t="s">
        <v>34</v>
      </c>
      <c r="L94" s="13" t="s">
        <v>28</v>
      </c>
      <c r="M94" s="13" t="s">
        <v>29</v>
      </c>
      <c r="N94" s="13" t="s">
        <v>29</v>
      </c>
      <c r="O94" s="21">
        <v>46077</v>
      </c>
    </row>
    <row r="95" spans="1:15" x14ac:dyDescent="0.3">
      <c r="A95" s="9" t="s">
        <v>133</v>
      </c>
      <c r="B95" s="12">
        <v>35</v>
      </c>
      <c r="C95" s="13" t="s">
        <v>16</v>
      </c>
      <c r="D95" s="13" t="s">
        <v>31</v>
      </c>
      <c r="E95" s="12">
        <v>35300</v>
      </c>
      <c r="F95" s="13" t="s">
        <v>26</v>
      </c>
      <c r="G95" s="12">
        <v>3</v>
      </c>
      <c r="H95" s="12">
        <v>3583</v>
      </c>
      <c r="I95" s="12">
        <v>10749</v>
      </c>
      <c r="J95" s="13" t="s">
        <v>39</v>
      </c>
      <c r="K95" s="13" t="s">
        <v>20</v>
      </c>
      <c r="L95" s="13" t="s">
        <v>28</v>
      </c>
      <c r="M95" s="13" t="s">
        <v>22</v>
      </c>
      <c r="N95" s="13" t="s">
        <v>35</v>
      </c>
      <c r="O95" s="21">
        <v>46104</v>
      </c>
    </row>
    <row r="96" spans="1:15" x14ac:dyDescent="0.3">
      <c r="A96" s="9" t="s">
        <v>134</v>
      </c>
      <c r="B96" s="12">
        <v>26</v>
      </c>
      <c r="C96" s="13" t="s">
        <v>16</v>
      </c>
      <c r="D96" s="13" t="s">
        <v>41</v>
      </c>
      <c r="E96" s="12">
        <v>34074</v>
      </c>
      <c r="F96" s="13" t="s">
        <v>18</v>
      </c>
      <c r="G96" s="12">
        <v>2</v>
      </c>
      <c r="H96" s="12">
        <v>2791</v>
      </c>
      <c r="I96" s="12">
        <v>5582</v>
      </c>
      <c r="J96" s="13" t="s">
        <v>39</v>
      </c>
      <c r="K96" s="13" t="s">
        <v>20</v>
      </c>
      <c r="L96" s="13" t="s">
        <v>28</v>
      </c>
      <c r="M96" s="13" t="s">
        <v>29</v>
      </c>
      <c r="N96" s="13" t="s">
        <v>35</v>
      </c>
      <c r="O96" s="21">
        <v>46030</v>
      </c>
    </row>
    <row r="97" spans="1:15" x14ac:dyDescent="0.3">
      <c r="A97" s="9" t="s">
        <v>135</v>
      </c>
      <c r="B97" s="12">
        <v>45</v>
      </c>
      <c r="C97" s="13" t="s">
        <v>16</v>
      </c>
      <c r="D97" s="13" t="s">
        <v>41</v>
      </c>
      <c r="E97" s="12">
        <v>43054</v>
      </c>
      <c r="F97" s="13" t="s">
        <v>18</v>
      </c>
      <c r="G97" s="12">
        <v>12</v>
      </c>
      <c r="H97" s="12">
        <v>4248</v>
      </c>
      <c r="I97" s="12">
        <v>50976</v>
      </c>
      <c r="J97" s="13" t="s">
        <v>19</v>
      </c>
      <c r="K97" s="13" t="s">
        <v>34</v>
      </c>
      <c r="L97" s="13" t="s">
        <v>28</v>
      </c>
      <c r="M97" s="13" t="s">
        <v>22</v>
      </c>
      <c r="N97" s="13" t="s">
        <v>29</v>
      </c>
      <c r="O97" s="21">
        <v>46025</v>
      </c>
    </row>
    <row r="98" spans="1:15" x14ac:dyDescent="0.3">
      <c r="A98" s="9" t="s">
        <v>136</v>
      </c>
      <c r="B98" s="12">
        <v>56</v>
      </c>
      <c r="C98" s="13" t="s">
        <v>16</v>
      </c>
      <c r="D98" s="13" t="s">
        <v>17</v>
      </c>
      <c r="E98" s="12">
        <v>59182</v>
      </c>
      <c r="F98" s="13" t="s">
        <v>42</v>
      </c>
      <c r="G98" s="12">
        <v>8</v>
      </c>
      <c r="H98" s="12">
        <v>1922</v>
      </c>
      <c r="I98" s="12">
        <v>15376</v>
      </c>
      <c r="J98" s="13" t="s">
        <v>33</v>
      </c>
      <c r="K98" s="13" t="s">
        <v>34</v>
      </c>
      <c r="L98" s="13" t="s">
        <v>28</v>
      </c>
      <c r="M98" s="13" t="s">
        <v>29</v>
      </c>
      <c r="N98" s="13" t="s">
        <v>29</v>
      </c>
      <c r="O98" s="21">
        <v>46110</v>
      </c>
    </row>
    <row r="99" spans="1:15" x14ac:dyDescent="0.3">
      <c r="A99" s="9" t="s">
        <v>137</v>
      </c>
      <c r="B99" s="12">
        <v>37</v>
      </c>
      <c r="C99" s="13" t="s">
        <v>24</v>
      </c>
      <c r="D99" s="13" t="s">
        <v>17</v>
      </c>
      <c r="E99" s="12">
        <v>88367</v>
      </c>
      <c r="F99" s="13" t="s">
        <v>18</v>
      </c>
      <c r="G99" s="12">
        <v>2</v>
      </c>
      <c r="H99" s="12">
        <v>1980</v>
      </c>
      <c r="I99" s="12">
        <v>3960</v>
      </c>
      <c r="J99" s="13" t="s">
        <v>27</v>
      </c>
      <c r="K99" s="13" t="s">
        <v>34</v>
      </c>
      <c r="L99" s="13" t="s">
        <v>28</v>
      </c>
      <c r="M99" s="13" t="s">
        <v>29</v>
      </c>
      <c r="N99" s="13" t="s">
        <v>35</v>
      </c>
      <c r="O99" s="21">
        <v>46052</v>
      </c>
    </row>
    <row r="100" spans="1:15" x14ac:dyDescent="0.3">
      <c r="A100" s="9" t="s">
        <v>138</v>
      </c>
      <c r="B100" s="12">
        <v>26</v>
      </c>
      <c r="C100" s="13" t="s">
        <v>16</v>
      </c>
      <c r="D100" s="13" t="s">
        <v>31</v>
      </c>
      <c r="E100" s="12">
        <v>27370</v>
      </c>
      <c r="F100" s="13" t="s">
        <v>38</v>
      </c>
      <c r="G100" s="12">
        <v>4</v>
      </c>
      <c r="H100" s="12">
        <v>4462</v>
      </c>
      <c r="I100" s="12">
        <v>17848</v>
      </c>
      <c r="J100" s="13" t="s">
        <v>33</v>
      </c>
      <c r="K100" s="13" t="s">
        <v>20</v>
      </c>
      <c r="L100" s="13" t="s">
        <v>28</v>
      </c>
      <c r="M100" s="13" t="s">
        <v>35</v>
      </c>
      <c r="N100" s="13" t="s">
        <v>29</v>
      </c>
      <c r="O100" s="21">
        <v>46112</v>
      </c>
    </row>
    <row r="101" spans="1:15" x14ac:dyDescent="0.3">
      <c r="A101" s="14" t="s">
        <v>139</v>
      </c>
      <c r="B101" s="15">
        <v>22</v>
      </c>
      <c r="C101" s="16" t="s">
        <v>16</v>
      </c>
      <c r="D101" s="16" t="s">
        <v>25</v>
      </c>
      <c r="E101" s="15">
        <v>52941</v>
      </c>
      <c r="F101" s="16" t="s">
        <v>18</v>
      </c>
      <c r="G101" s="15">
        <v>3</v>
      </c>
      <c r="H101" s="15">
        <v>4684</v>
      </c>
      <c r="I101" s="15">
        <v>14052</v>
      </c>
      <c r="J101" s="16" t="s">
        <v>39</v>
      </c>
      <c r="K101" s="16" t="s">
        <v>20</v>
      </c>
      <c r="L101" s="16" t="s">
        <v>28</v>
      </c>
      <c r="M101" s="16" t="s">
        <v>22</v>
      </c>
      <c r="N101" s="16" t="s">
        <v>35</v>
      </c>
      <c r="O101" s="22">
        <v>46040</v>
      </c>
    </row>
  </sheetData>
  <dataValidations count="2">
    <dataValidation type="list" allowBlank="1" showInputMessage="1" showErrorMessage="1" errorTitle="Invalid Input" error="Please select Male or Female from the dropdown only." sqref="C2:C101" xr:uid="{FFFD9D29-4600-4082-8413-7C2F57966843}">
      <formula1>"Male,Female"</formula1>
    </dataValidation>
    <dataValidation type="list" allowBlank="1" showInputMessage="1" showErrorMessage="1" sqref="K2:K101" xr:uid="{1701F4EB-0B59-4217-BE36-11D2E71C9499}">
      <formula1>"Online,Offline"</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CDC9-D790-4A12-B515-23FF919432D2}">
  <dimension ref="A1:U101"/>
  <sheetViews>
    <sheetView topLeftCell="I1" workbookViewId="0">
      <selection sqref="A1:U101"/>
    </sheetView>
  </sheetViews>
  <sheetFormatPr defaultColWidth="14.77734375" defaultRowHeight="14.4" x14ac:dyDescent="0.3"/>
  <cols>
    <col min="1" max="1" width="11.21875" bestFit="1" customWidth="1"/>
    <col min="2" max="2" width="4" bestFit="1" customWidth="1"/>
    <col min="3" max="3" width="7.109375" bestFit="1" customWidth="1"/>
    <col min="4" max="4" width="9.77734375" bestFit="1" customWidth="1"/>
    <col min="5" max="5" width="7.21875" bestFit="1" customWidth="1"/>
    <col min="6" max="6" width="10.6640625" bestFit="1" customWidth="1"/>
    <col min="7" max="7" width="9.6640625" bestFit="1" customWidth="1"/>
    <col min="8" max="8" width="14.109375" bestFit="1" customWidth="1"/>
    <col min="9" max="9" width="13.33203125" bestFit="1" customWidth="1"/>
    <col min="10" max="10" width="10" bestFit="1" customWidth="1"/>
    <col min="11" max="11" width="7.77734375" bestFit="1" customWidth="1"/>
    <col min="12" max="12" width="8.6640625" bestFit="1" customWidth="1"/>
    <col min="13" max="13" width="11.109375" bestFit="1" customWidth="1"/>
    <col min="14" max="14" width="9.77734375" bestFit="1" customWidth="1"/>
    <col min="15" max="15" width="12.44140625" bestFit="1" customWidth="1"/>
    <col min="16" max="16" width="15.77734375" customWidth="1"/>
    <col min="17" max="17" width="16.6640625" customWidth="1"/>
    <col min="18" max="18" width="18.109375" customWidth="1"/>
    <col min="20" max="20" width="18.6640625" customWidth="1"/>
  </cols>
  <sheetData>
    <row r="1" spans="1:21" ht="28.8"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8" t="s">
        <v>14</v>
      </c>
      <c r="P1" s="24" t="s">
        <v>140</v>
      </c>
      <c r="Q1" s="23" t="s">
        <v>141</v>
      </c>
      <c r="R1" s="23" t="s">
        <v>142</v>
      </c>
      <c r="S1" s="23" t="s">
        <v>143</v>
      </c>
      <c r="T1" s="25" t="s">
        <v>144</v>
      </c>
      <c r="U1" s="23" t="s">
        <v>158</v>
      </c>
    </row>
    <row r="2" spans="1:21" x14ac:dyDescent="0.3">
      <c r="A2" s="9" t="s">
        <v>15</v>
      </c>
      <c r="B2" s="10">
        <v>25</v>
      </c>
      <c r="C2" s="11" t="s">
        <v>16</v>
      </c>
      <c r="D2" s="11" t="s">
        <v>17</v>
      </c>
      <c r="E2" s="10">
        <v>30000</v>
      </c>
      <c r="F2" s="11" t="s">
        <v>18</v>
      </c>
      <c r="G2" s="10">
        <v>5</v>
      </c>
      <c r="H2" s="10">
        <v>1200</v>
      </c>
      <c r="I2" s="10">
        <v>6000</v>
      </c>
      <c r="J2" s="11" t="s">
        <v>19</v>
      </c>
      <c r="K2" s="11" t="s">
        <v>20</v>
      </c>
      <c r="L2" s="11" t="s">
        <v>21</v>
      </c>
      <c r="M2" s="11" t="s">
        <v>22</v>
      </c>
      <c r="N2" s="11" t="s">
        <v>22</v>
      </c>
      <c r="O2" s="20">
        <v>46082</v>
      </c>
      <c r="P2" s="26">
        <v>1</v>
      </c>
      <c r="Q2" s="13">
        <v>2</v>
      </c>
      <c r="R2" s="13">
        <v>3</v>
      </c>
      <c r="S2" s="13">
        <v>6</v>
      </c>
      <c r="T2" s="27" t="s">
        <v>145</v>
      </c>
      <c r="U2" s="19" t="str">
        <f t="shared" ref="U2:U33" si="0">IF(DATE(2026,3,31)-O2&lt;=30,"Retained","At Risk")</f>
        <v>Retained</v>
      </c>
    </row>
    <row r="3" spans="1:21" x14ac:dyDescent="0.3">
      <c r="A3" s="9" t="s">
        <v>23</v>
      </c>
      <c r="B3" s="10">
        <v>32</v>
      </c>
      <c r="C3" s="11" t="s">
        <v>24</v>
      </c>
      <c r="D3" s="11" t="s">
        <v>25</v>
      </c>
      <c r="E3" s="10">
        <v>60000</v>
      </c>
      <c r="F3" s="11" t="s">
        <v>26</v>
      </c>
      <c r="G3" s="10">
        <v>8</v>
      </c>
      <c r="H3" s="10">
        <v>2500</v>
      </c>
      <c r="I3" s="10">
        <v>20000</v>
      </c>
      <c r="J3" s="11" t="s">
        <v>27</v>
      </c>
      <c r="K3" s="11" t="s">
        <v>20</v>
      </c>
      <c r="L3" s="11" t="s">
        <v>28</v>
      </c>
      <c r="M3" s="11" t="s">
        <v>29</v>
      </c>
      <c r="N3" s="11" t="s">
        <v>29</v>
      </c>
      <c r="O3" s="20">
        <v>46096</v>
      </c>
      <c r="P3" s="26">
        <v>2</v>
      </c>
      <c r="Q3" s="13">
        <v>3</v>
      </c>
      <c r="R3" s="13">
        <v>2</v>
      </c>
      <c r="S3" s="13">
        <v>7</v>
      </c>
      <c r="T3" s="27" t="s">
        <v>145</v>
      </c>
      <c r="U3" s="13" t="str">
        <f t="shared" si="0"/>
        <v>Retained</v>
      </c>
    </row>
    <row r="4" spans="1:21" x14ac:dyDescent="0.3">
      <c r="A4" s="9" t="s">
        <v>30</v>
      </c>
      <c r="B4" s="10">
        <v>45</v>
      </c>
      <c r="C4" s="11" t="s">
        <v>16</v>
      </c>
      <c r="D4" s="11" t="s">
        <v>31</v>
      </c>
      <c r="E4" s="10">
        <v>90000</v>
      </c>
      <c r="F4" s="11" t="s">
        <v>32</v>
      </c>
      <c r="G4" s="10">
        <v>3</v>
      </c>
      <c r="H4" s="10">
        <v>5000</v>
      </c>
      <c r="I4" s="10">
        <v>15000</v>
      </c>
      <c r="J4" s="11" t="s">
        <v>33</v>
      </c>
      <c r="K4" s="11" t="s">
        <v>34</v>
      </c>
      <c r="L4" s="11" t="s">
        <v>28</v>
      </c>
      <c r="M4" s="11" t="s">
        <v>35</v>
      </c>
      <c r="N4" s="11" t="s">
        <v>35</v>
      </c>
      <c r="O4" s="20">
        <v>46073</v>
      </c>
      <c r="P4" s="26">
        <v>2</v>
      </c>
      <c r="Q4" s="13">
        <v>1</v>
      </c>
      <c r="R4" s="13">
        <v>1</v>
      </c>
      <c r="S4" s="13">
        <v>4</v>
      </c>
      <c r="T4" s="27" t="s">
        <v>146</v>
      </c>
      <c r="U4" s="13" t="str">
        <f t="shared" si="0"/>
        <v>At Risk</v>
      </c>
    </row>
    <row r="5" spans="1:21" x14ac:dyDescent="0.3">
      <c r="A5" s="9" t="s">
        <v>36</v>
      </c>
      <c r="B5" s="10">
        <v>29</v>
      </c>
      <c r="C5" s="11" t="s">
        <v>24</v>
      </c>
      <c r="D5" s="11" t="s">
        <v>37</v>
      </c>
      <c r="E5" s="10">
        <v>40000</v>
      </c>
      <c r="F5" s="11" t="s">
        <v>38</v>
      </c>
      <c r="G5" s="10">
        <v>6</v>
      </c>
      <c r="H5" s="10">
        <v>1800</v>
      </c>
      <c r="I5" s="10">
        <v>10800</v>
      </c>
      <c r="J5" s="11" t="s">
        <v>39</v>
      </c>
      <c r="K5" s="11" t="s">
        <v>20</v>
      </c>
      <c r="L5" s="11" t="s">
        <v>21</v>
      </c>
      <c r="M5" s="11" t="s">
        <v>22</v>
      </c>
      <c r="N5" s="11" t="s">
        <v>22</v>
      </c>
      <c r="O5" s="20">
        <v>46091</v>
      </c>
      <c r="P5" s="26">
        <v>2</v>
      </c>
      <c r="Q5" s="13">
        <v>2</v>
      </c>
      <c r="R5" s="13">
        <v>3</v>
      </c>
      <c r="S5" s="13">
        <v>7</v>
      </c>
      <c r="T5" s="27" t="s">
        <v>145</v>
      </c>
      <c r="U5" s="13" t="str">
        <f t="shared" si="0"/>
        <v>Retained</v>
      </c>
    </row>
    <row r="6" spans="1:21" x14ac:dyDescent="0.3">
      <c r="A6" s="9" t="s">
        <v>40</v>
      </c>
      <c r="B6" s="10">
        <v>38</v>
      </c>
      <c r="C6" s="11" t="s">
        <v>16</v>
      </c>
      <c r="D6" s="11" t="s">
        <v>41</v>
      </c>
      <c r="E6" s="10">
        <v>70000</v>
      </c>
      <c r="F6" s="11" t="s">
        <v>42</v>
      </c>
      <c r="G6" s="10">
        <v>10</v>
      </c>
      <c r="H6" s="10">
        <v>3000</v>
      </c>
      <c r="I6" s="10">
        <v>30000</v>
      </c>
      <c r="J6" s="11" t="s">
        <v>19</v>
      </c>
      <c r="K6" s="11" t="s">
        <v>20</v>
      </c>
      <c r="L6" s="11" t="s">
        <v>28</v>
      </c>
      <c r="M6" s="11" t="s">
        <v>22</v>
      </c>
      <c r="N6" s="11" t="s">
        <v>35</v>
      </c>
      <c r="O6" s="20">
        <v>46099</v>
      </c>
      <c r="P6" s="26">
        <v>3</v>
      </c>
      <c r="Q6" s="13">
        <v>3</v>
      </c>
      <c r="R6" s="13">
        <v>3</v>
      </c>
      <c r="S6" s="13">
        <v>9</v>
      </c>
      <c r="T6" s="27" t="s">
        <v>147</v>
      </c>
      <c r="U6" s="13" t="str">
        <f t="shared" si="0"/>
        <v>Retained</v>
      </c>
    </row>
    <row r="7" spans="1:21" x14ac:dyDescent="0.3">
      <c r="A7" s="9" t="s">
        <v>43</v>
      </c>
      <c r="B7" s="10">
        <v>50</v>
      </c>
      <c r="C7" s="11" t="s">
        <v>24</v>
      </c>
      <c r="D7" s="11" t="s">
        <v>44</v>
      </c>
      <c r="E7" s="10">
        <v>50000</v>
      </c>
      <c r="F7" s="11" t="s">
        <v>45</v>
      </c>
      <c r="G7" s="10">
        <v>2</v>
      </c>
      <c r="H7" s="10">
        <v>4000</v>
      </c>
      <c r="I7" s="10">
        <v>8000</v>
      </c>
      <c r="J7" s="11" t="s">
        <v>33</v>
      </c>
      <c r="K7" s="11" t="s">
        <v>34</v>
      </c>
      <c r="L7" s="11" t="s">
        <v>28</v>
      </c>
      <c r="M7" s="11" t="s">
        <v>35</v>
      </c>
      <c r="N7" s="11" t="s">
        <v>29</v>
      </c>
      <c r="O7" s="20">
        <v>46058</v>
      </c>
      <c r="P7" s="26">
        <v>1</v>
      </c>
      <c r="Q7" s="13">
        <v>1</v>
      </c>
      <c r="R7" s="13">
        <v>1</v>
      </c>
      <c r="S7" s="13">
        <v>3</v>
      </c>
      <c r="T7" s="27" t="s">
        <v>146</v>
      </c>
      <c r="U7" s="13" t="str">
        <f t="shared" si="0"/>
        <v>At Risk</v>
      </c>
    </row>
    <row r="8" spans="1:21" x14ac:dyDescent="0.3">
      <c r="A8" s="9" t="s">
        <v>46</v>
      </c>
      <c r="B8" s="10">
        <v>27</v>
      </c>
      <c r="C8" s="11" t="s">
        <v>16</v>
      </c>
      <c r="D8" s="11" t="s">
        <v>17</v>
      </c>
      <c r="E8" s="10">
        <v>35000</v>
      </c>
      <c r="F8" s="11" t="s">
        <v>18</v>
      </c>
      <c r="G8" s="10">
        <v>7</v>
      </c>
      <c r="H8" s="10">
        <v>1500</v>
      </c>
      <c r="I8" s="10">
        <v>10500</v>
      </c>
      <c r="J8" s="11" t="s">
        <v>27</v>
      </c>
      <c r="K8" s="11" t="s">
        <v>20</v>
      </c>
      <c r="L8" s="11" t="s">
        <v>21</v>
      </c>
      <c r="M8" s="11" t="s">
        <v>29</v>
      </c>
      <c r="N8" s="11" t="s">
        <v>22</v>
      </c>
      <c r="O8" s="20">
        <v>46093</v>
      </c>
      <c r="P8" s="26">
        <v>2</v>
      </c>
      <c r="Q8" s="13">
        <v>2</v>
      </c>
      <c r="R8" s="13">
        <v>2</v>
      </c>
      <c r="S8" s="13">
        <v>6</v>
      </c>
      <c r="T8" s="27" t="s">
        <v>145</v>
      </c>
      <c r="U8" s="13" t="str">
        <f t="shared" si="0"/>
        <v>Retained</v>
      </c>
    </row>
    <row r="9" spans="1:21" x14ac:dyDescent="0.3">
      <c r="A9" s="9" t="s">
        <v>47</v>
      </c>
      <c r="B9" s="10">
        <v>34</v>
      </c>
      <c r="C9" s="11" t="s">
        <v>24</v>
      </c>
      <c r="D9" s="11" t="s">
        <v>25</v>
      </c>
      <c r="E9" s="10">
        <v>80000</v>
      </c>
      <c r="F9" s="11" t="s">
        <v>26</v>
      </c>
      <c r="G9" s="10">
        <v>9</v>
      </c>
      <c r="H9" s="10">
        <v>2700</v>
      </c>
      <c r="I9" s="10">
        <v>24300</v>
      </c>
      <c r="J9" s="11" t="s">
        <v>19</v>
      </c>
      <c r="K9" s="11" t="s">
        <v>20</v>
      </c>
      <c r="L9" s="11" t="s">
        <v>28</v>
      </c>
      <c r="M9" s="11" t="s">
        <v>22</v>
      </c>
      <c r="N9" s="11" t="s">
        <v>35</v>
      </c>
      <c r="O9" s="20">
        <v>46101</v>
      </c>
      <c r="P9" s="26">
        <v>2</v>
      </c>
      <c r="Q9" s="13">
        <v>3</v>
      </c>
      <c r="R9" s="13">
        <v>3</v>
      </c>
      <c r="S9" s="13">
        <v>8</v>
      </c>
      <c r="T9" s="27" t="s">
        <v>147</v>
      </c>
      <c r="U9" s="13" t="str">
        <f t="shared" si="0"/>
        <v>Retained</v>
      </c>
    </row>
    <row r="10" spans="1:21" x14ac:dyDescent="0.3">
      <c r="A10" s="9" t="s">
        <v>48</v>
      </c>
      <c r="B10" s="10">
        <v>41</v>
      </c>
      <c r="C10" s="11" t="s">
        <v>16</v>
      </c>
      <c r="D10" s="11" t="s">
        <v>31</v>
      </c>
      <c r="E10" s="10">
        <v>95000</v>
      </c>
      <c r="F10" s="11" t="s">
        <v>32</v>
      </c>
      <c r="G10" s="10">
        <v>4</v>
      </c>
      <c r="H10" s="10">
        <v>4500</v>
      </c>
      <c r="I10" s="10">
        <v>18000</v>
      </c>
      <c r="J10" s="11" t="s">
        <v>33</v>
      </c>
      <c r="K10" s="11" t="s">
        <v>34</v>
      </c>
      <c r="L10" s="11" t="s">
        <v>28</v>
      </c>
      <c r="M10" s="11" t="s">
        <v>29</v>
      </c>
      <c r="N10" s="11" t="s">
        <v>35</v>
      </c>
      <c r="O10" s="20">
        <v>46078</v>
      </c>
      <c r="P10" s="26">
        <v>2</v>
      </c>
      <c r="Q10" s="13">
        <v>2</v>
      </c>
      <c r="R10" s="13">
        <v>2</v>
      </c>
      <c r="S10" s="13">
        <v>6</v>
      </c>
      <c r="T10" s="27" t="s">
        <v>145</v>
      </c>
      <c r="U10" s="13" t="str">
        <f t="shared" si="0"/>
        <v>At Risk</v>
      </c>
    </row>
    <row r="11" spans="1:21" x14ac:dyDescent="0.3">
      <c r="A11" s="9" t="s">
        <v>49</v>
      </c>
      <c r="B11" s="10">
        <v>30</v>
      </c>
      <c r="C11" s="11" t="s">
        <v>24</v>
      </c>
      <c r="D11" s="11" t="s">
        <v>37</v>
      </c>
      <c r="E11" s="10">
        <v>42000</v>
      </c>
      <c r="F11" s="11" t="s">
        <v>38</v>
      </c>
      <c r="G11" s="10">
        <v>6</v>
      </c>
      <c r="H11" s="10">
        <v>2000</v>
      </c>
      <c r="I11" s="10">
        <v>12000</v>
      </c>
      <c r="J11" s="11" t="s">
        <v>39</v>
      </c>
      <c r="K11" s="11" t="s">
        <v>20</v>
      </c>
      <c r="L11" s="11" t="s">
        <v>21</v>
      </c>
      <c r="M11" s="11" t="s">
        <v>29</v>
      </c>
      <c r="N11" s="11" t="s">
        <v>29</v>
      </c>
      <c r="O11" s="20">
        <v>46089</v>
      </c>
      <c r="P11" s="26">
        <v>2</v>
      </c>
      <c r="Q11" s="13">
        <v>2</v>
      </c>
      <c r="R11" s="13">
        <v>2</v>
      </c>
      <c r="S11" s="13">
        <v>6</v>
      </c>
      <c r="T11" s="27" t="s">
        <v>145</v>
      </c>
      <c r="U11" s="13" t="str">
        <f t="shared" si="0"/>
        <v>Retained</v>
      </c>
    </row>
    <row r="12" spans="1:21" x14ac:dyDescent="0.3">
      <c r="A12" s="9" t="s">
        <v>50</v>
      </c>
      <c r="B12" s="12">
        <v>30</v>
      </c>
      <c r="C12" s="13" t="s">
        <v>16</v>
      </c>
      <c r="D12" s="13" t="s">
        <v>25</v>
      </c>
      <c r="E12" s="12">
        <v>59146</v>
      </c>
      <c r="F12" s="13" t="s">
        <v>26</v>
      </c>
      <c r="G12" s="12">
        <v>11</v>
      </c>
      <c r="H12" s="12">
        <v>1075</v>
      </c>
      <c r="I12" s="12">
        <v>11825</v>
      </c>
      <c r="J12" s="13" t="s">
        <v>39</v>
      </c>
      <c r="K12" s="13" t="s">
        <v>20</v>
      </c>
      <c r="L12" s="13" t="s">
        <v>28</v>
      </c>
      <c r="M12" s="13" t="s">
        <v>29</v>
      </c>
      <c r="N12" s="13" t="s">
        <v>22</v>
      </c>
      <c r="O12" s="21">
        <v>46081</v>
      </c>
      <c r="P12" s="26">
        <v>2</v>
      </c>
      <c r="Q12" s="13">
        <v>3</v>
      </c>
      <c r="R12" s="13">
        <v>2</v>
      </c>
      <c r="S12" s="13">
        <v>7</v>
      </c>
      <c r="T12" s="27" t="s">
        <v>145</v>
      </c>
      <c r="U12" s="13" t="str">
        <f t="shared" si="0"/>
        <v>At Risk</v>
      </c>
    </row>
    <row r="13" spans="1:21" x14ac:dyDescent="0.3">
      <c r="A13" s="9" t="s">
        <v>51</v>
      </c>
      <c r="B13" s="12">
        <v>49</v>
      </c>
      <c r="C13" s="13" t="s">
        <v>24</v>
      </c>
      <c r="D13" s="13" t="s">
        <v>37</v>
      </c>
      <c r="E13" s="12">
        <v>42383</v>
      </c>
      <c r="F13" s="13" t="s">
        <v>18</v>
      </c>
      <c r="G13" s="12">
        <v>7</v>
      </c>
      <c r="H13" s="12">
        <v>1368</v>
      </c>
      <c r="I13" s="12">
        <v>9576</v>
      </c>
      <c r="J13" s="13" t="s">
        <v>19</v>
      </c>
      <c r="K13" s="13" t="s">
        <v>20</v>
      </c>
      <c r="L13" s="13" t="s">
        <v>28</v>
      </c>
      <c r="M13" s="13" t="s">
        <v>29</v>
      </c>
      <c r="N13" s="13" t="s">
        <v>29</v>
      </c>
      <c r="O13" s="21">
        <v>46057</v>
      </c>
      <c r="P13" s="26">
        <v>1</v>
      </c>
      <c r="Q13" s="13">
        <v>2</v>
      </c>
      <c r="R13" s="13">
        <v>2</v>
      </c>
      <c r="S13" s="13">
        <v>5</v>
      </c>
      <c r="T13" s="27" t="s">
        <v>145</v>
      </c>
      <c r="U13" s="13" t="str">
        <f t="shared" si="0"/>
        <v>At Risk</v>
      </c>
    </row>
    <row r="14" spans="1:21" x14ac:dyDescent="0.3">
      <c r="A14" s="9" t="s">
        <v>52</v>
      </c>
      <c r="B14" s="12">
        <v>37</v>
      </c>
      <c r="C14" s="13" t="s">
        <v>16</v>
      </c>
      <c r="D14" s="13" t="s">
        <v>41</v>
      </c>
      <c r="E14" s="12">
        <v>55412</v>
      </c>
      <c r="F14" s="13" t="s">
        <v>32</v>
      </c>
      <c r="G14" s="12">
        <v>8</v>
      </c>
      <c r="H14" s="12">
        <v>3192</v>
      </c>
      <c r="I14" s="12">
        <v>25536</v>
      </c>
      <c r="J14" s="13" t="s">
        <v>39</v>
      </c>
      <c r="K14" s="13" t="s">
        <v>34</v>
      </c>
      <c r="L14" s="13" t="s">
        <v>28</v>
      </c>
      <c r="M14" s="13" t="s">
        <v>22</v>
      </c>
      <c r="N14" s="13" t="s">
        <v>22</v>
      </c>
      <c r="O14" s="21">
        <v>46102</v>
      </c>
      <c r="P14" s="26">
        <v>3</v>
      </c>
      <c r="Q14" s="13">
        <v>3</v>
      </c>
      <c r="R14" s="13">
        <v>3</v>
      </c>
      <c r="S14" s="13">
        <v>9</v>
      </c>
      <c r="T14" s="27" t="s">
        <v>147</v>
      </c>
      <c r="U14" s="13" t="str">
        <f t="shared" si="0"/>
        <v>Retained</v>
      </c>
    </row>
    <row r="15" spans="1:21" x14ac:dyDescent="0.3">
      <c r="A15" s="9" t="s">
        <v>53</v>
      </c>
      <c r="B15" s="12">
        <v>31</v>
      </c>
      <c r="C15" s="13" t="s">
        <v>24</v>
      </c>
      <c r="D15" s="13" t="s">
        <v>31</v>
      </c>
      <c r="E15" s="12">
        <v>86225</v>
      </c>
      <c r="F15" s="13" t="s">
        <v>32</v>
      </c>
      <c r="G15" s="12">
        <v>9</v>
      </c>
      <c r="H15" s="12">
        <v>3295</v>
      </c>
      <c r="I15" s="12">
        <v>29655</v>
      </c>
      <c r="J15" s="13" t="s">
        <v>33</v>
      </c>
      <c r="K15" s="13" t="s">
        <v>20</v>
      </c>
      <c r="L15" s="13" t="s">
        <v>28</v>
      </c>
      <c r="M15" s="13" t="s">
        <v>35</v>
      </c>
      <c r="N15" s="13" t="s">
        <v>22</v>
      </c>
      <c r="O15" s="21">
        <v>46069</v>
      </c>
      <c r="P15" s="26">
        <v>3</v>
      </c>
      <c r="Q15" s="13">
        <v>3</v>
      </c>
      <c r="R15" s="13">
        <v>1</v>
      </c>
      <c r="S15" s="13">
        <v>7</v>
      </c>
      <c r="T15" s="27" t="s">
        <v>145</v>
      </c>
      <c r="U15" s="13" t="str">
        <f t="shared" si="0"/>
        <v>At Risk</v>
      </c>
    </row>
    <row r="16" spans="1:21" x14ac:dyDescent="0.3">
      <c r="A16" s="9" t="s">
        <v>54</v>
      </c>
      <c r="B16" s="12">
        <v>24</v>
      </c>
      <c r="C16" s="13" t="s">
        <v>16</v>
      </c>
      <c r="D16" s="13" t="s">
        <v>37</v>
      </c>
      <c r="E16" s="12">
        <v>77958</v>
      </c>
      <c r="F16" s="13" t="s">
        <v>18</v>
      </c>
      <c r="G16" s="12">
        <v>12</v>
      </c>
      <c r="H16" s="12">
        <v>1493</v>
      </c>
      <c r="I16" s="12">
        <v>17916</v>
      </c>
      <c r="J16" s="13" t="s">
        <v>19</v>
      </c>
      <c r="K16" s="13" t="s">
        <v>34</v>
      </c>
      <c r="L16" s="13" t="s">
        <v>21</v>
      </c>
      <c r="M16" s="13" t="s">
        <v>35</v>
      </c>
      <c r="N16" s="13" t="s">
        <v>35</v>
      </c>
      <c r="O16" s="21">
        <v>46099</v>
      </c>
      <c r="P16" s="26">
        <v>2</v>
      </c>
      <c r="Q16" s="13">
        <v>3</v>
      </c>
      <c r="R16" s="13">
        <v>1</v>
      </c>
      <c r="S16" s="13">
        <v>6</v>
      </c>
      <c r="T16" s="27" t="s">
        <v>145</v>
      </c>
      <c r="U16" s="13" t="str">
        <f t="shared" si="0"/>
        <v>Retained</v>
      </c>
    </row>
    <row r="17" spans="1:21" x14ac:dyDescent="0.3">
      <c r="A17" s="9" t="s">
        <v>55</v>
      </c>
      <c r="B17" s="12">
        <v>31</v>
      </c>
      <c r="C17" s="13" t="s">
        <v>24</v>
      </c>
      <c r="D17" s="13" t="s">
        <v>17</v>
      </c>
      <c r="E17" s="12">
        <v>29108</v>
      </c>
      <c r="F17" s="13" t="s">
        <v>38</v>
      </c>
      <c r="G17" s="12">
        <v>12</v>
      </c>
      <c r="H17" s="12">
        <v>1095</v>
      </c>
      <c r="I17" s="12">
        <v>13140</v>
      </c>
      <c r="J17" s="13" t="s">
        <v>39</v>
      </c>
      <c r="K17" s="13" t="s">
        <v>20</v>
      </c>
      <c r="L17" s="13" t="s">
        <v>28</v>
      </c>
      <c r="M17" s="13" t="s">
        <v>29</v>
      </c>
      <c r="N17" s="13" t="s">
        <v>29</v>
      </c>
      <c r="O17" s="21">
        <v>46079</v>
      </c>
      <c r="P17" s="26">
        <v>2</v>
      </c>
      <c r="Q17" s="13">
        <v>3</v>
      </c>
      <c r="R17" s="13">
        <v>2</v>
      </c>
      <c r="S17" s="13">
        <v>7</v>
      </c>
      <c r="T17" s="27" t="s">
        <v>145</v>
      </c>
      <c r="U17" s="13" t="str">
        <f t="shared" si="0"/>
        <v>At Risk</v>
      </c>
    </row>
    <row r="18" spans="1:21" x14ac:dyDescent="0.3">
      <c r="A18" s="9" t="s">
        <v>56</v>
      </c>
      <c r="B18" s="12">
        <v>43</v>
      </c>
      <c r="C18" s="13" t="s">
        <v>16</v>
      </c>
      <c r="D18" s="13" t="s">
        <v>41</v>
      </c>
      <c r="E18" s="12">
        <v>33625</v>
      </c>
      <c r="F18" s="13" t="s">
        <v>18</v>
      </c>
      <c r="G18" s="12">
        <v>9</v>
      </c>
      <c r="H18" s="12">
        <v>3106</v>
      </c>
      <c r="I18" s="12">
        <v>27954</v>
      </c>
      <c r="J18" s="13" t="s">
        <v>19</v>
      </c>
      <c r="K18" s="13" t="s">
        <v>20</v>
      </c>
      <c r="L18" s="13" t="s">
        <v>28</v>
      </c>
      <c r="M18" s="13" t="s">
        <v>22</v>
      </c>
      <c r="N18" s="13" t="s">
        <v>22</v>
      </c>
      <c r="O18" s="21">
        <v>46069</v>
      </c>
      <c r="P18" s="26">
        <v>3</v>
      </c>
      <c r="Q18" s="13">
        <v>3</v>
      </c>
      <c r="R18" s="13">
        <v>3</v>
      </c>
      <c r="S18" s="13">
        <v>9</v>
      </c>
      <c r="T18" s="27" t="s">
        <v>147</v>
      </c>
      <c r="U18" s="13" t="str">
        <f t="shared" si="0"/>
        <v>At Risk</v>
      </c>
    </row>
    <row r="19" spans="1:21" x14ac:dyDescent="0.3">
      <c r="A19" s="9" t="s">
        <v>57</v>
      </c>
      <c r="B19" s="12">
        <v>45</v>
      </c>
      <c r="C19" s="13" t="s">
        <v>16</v>
      </c>
      <c r="D19" s="13" t="s">
        <v>41</v>
      </c>
      <c r="E19" s="12">
        <v>30820</v>
      </c>
      <c r="F19" s="13" t="s">
        <v>32</v>
      </c>
      <c r="G19" s="12">
        <v>10</v>
      </c>
      <c r="H19" s="12">
        <v>4958</v>
      </c>
      <c r="I19" s="12">
        <v>49580</v>
      </c>
      <c r="J19" s="13" t="s">
        <v>27</v>
      </c>
      <c r="K19" s="13" t="s">
        <v>34</v>
      </c>
      <c r="L19" s="13" t="s">
        <v>28</v>
      </c>
      <c r="M19" s="13" t="s">
        <v>29</v>
      </c>
      <c r="N19" s="13" t="s">
        <v>35</v>
      </c>
      <c r="O19" s="21">
        <v>46104</v>
      </c>
      <c r="P19" s="26">
        <v>3</v>
      </c>
      <c r="Q19" s="13">
        <v>3</v>
      </c>
      <c r="R19" s="13">
        <v>2</v>
      </c>
      <c r="S19" s="13">
        <v>8</v>
      </c>
      <c r="T19" s="27" t="s">
        <v>147</v>
      </c>
      <c r="U19" s="13" t="str">
        <f t="shared" si="0"/>
        <v>Retained</v>
      </c>
    </row>
    <row r="20" spans="1:21" x14ac:dyDescent="0.3">
      <c r="A20" s="9" t="s">
        <v>58</v>
      </c>
      <c r="B20" s="12">
        <v>42</v>
      </c>
      <c r="C20" s="13" t="s">
        <v>24</v>
      </c>
      <c r="D20" s="13" t="s">
        <v>17</v>
      </c>
      <c r="E20" s="12">
        <v>94746</v>
      </c>
      <c r="F20" s="13" t="s">
        <v>32</v>
      </c>
      <c r="G20" s="12">
        <v>12</v>
      </c>
      <c r="H20" s="12">
        <v>3267</v>
      </c>
      <c r="I20" s="12">
        <v>39204</v>
      </c>
      <c r="J20" s="13" t="s">
        <v>27</v>
      </c>
      <c r="K20" s="13" t="s">
        <v>34</v>
      </c>
      <c r="L20" s="13" t="s">
        <v>28</v>
      </c>
      <c r="M20" s="13" t="s">
        <v>22</v>
      </c>
      <c r="N20" s="13" t="s">
        <v>35</v>
      </c>
      <c r="O20" s="21">
        <v>46107</v>
      </c>
      <c r="P20" s="26">
        <v>3</v>
      </c>
      <c r="Q20" s="13">
        <v>3</v>
      </c>
      <c r="R20" s="13">
        <v>3</v>
      </c>
      <c r="S20" s="13">
        <v>9</v>
      </c>
      <c r="T20" s="27" t="s">
        <v>147</v>
      </c>
      <c r="U20" s="13" t="str">
        <f t="shared" si="0"/>
        <v>Retained</v>
      </c>
    </row>
    <row r="21" spans="1:21" x14ac:dyDescent="0.3">
      <c r="A21" s="9" t="s">
        <v>59</v>
      </c>
      <c r="B21" s="12">
        <v>35</v>
      </c>
      <c r="C21" s="13" t="s">
        <v>16</v>
      </c>
      <c r="D21" s="13" t="s">
        <v>44</v>
      </c>
      <c r="E21" s="12">
        <v>91313</v>
      </c>
      <c r="F21" s="13" t="s">
        <v>32</v>
      </c>
      <c r="G21" s="12">
        <v>1</v>
      </c>
      <c r="H21" s="12">
        <v>1772</v>
      </c>
      <c r="I21" s="12">
        <v>1772</v>
      </c>
      <c r="J21" s="13" t="s">
        <v>27</v>
      </c>
      <c r="K21" s="13" t="s">
        <v>20</v>
      </c>
      <c r="L21" s="13" t="s">
        <v>21</v>
      </c>
      <c r="M21" s="13" t="s">
        <v>35</v>
      </c>
      <c r="N21" s="13" t="s">
        <v>22</v>
      </c>
      <c r="O21" s="21">
        <v>46056</v>
      </c>
      <c r="P21" s="26">
        <v>1</v>
      </c>
      <c r="Q21" s="13">
        <v>1</v>
      </c>
      <c r="R21" s="13">
        <v>1</v>
      </c>
      <c r="S21" s="13">
        <v>3</v>
      </c>
      <c r="T21" s="27" t="s">
        <v>146</v>
      </c>
      <c r="U21" s="13" t="str">
        <f t="shared" si="0"/>
        <v>At Risk</v>
      </c>
    </row>
    <row r="22" spans="1:21" x14ac:dyDescent="0.3">
      <c r="A22" s="9" t="s">
        <v>60</v>
      </c>
      <c r="B22" s="12">
        <v>39</v>
      </c>
      <c r="C22" s="13" t="s">
        <v>24</v>
      </c>
      <c r="D22" s="13" t="s">
        <v>37</v>
      </c>
      <c r="E22" s="12">
        <v>66153</v>
      </c>
      <c r="F22" s="13" t="s">
        <v>38</v>
      </c>
      <c r="G22" s="12">
        <v>10</v>
      </c>
      <c r="H22" s="12">
        <v>596</v>
      </c>
      <c r="I22" s="12">
        <v>5960</v>
      </c>
      <c r="J22" s="13" t="s">
        <v>19</v>
      </c>
      <c r="K22" s="13" t="s">
        <v>34</v>
      </c>
      <c r="L22" s="13" t="s">
        <v>21</v>
      </c>
      <c r="M22" s="13" t="s">
        <v>22</v>
      </c>
      <c r="N22" s="13" t="s">
        <v>22</v>
      </c>
      <c r="O22" s="21">
        <v>46064</v>
      </c>
      <c r="P22" s="26">
        <v>1</v>
      </c>
      <c r="Q22" s="13">
        <v>3</v>
      </c>
      <c r="R22" s="13">
        <v>3</v>
      </c>
      <c r="S22" s="13">
        <v>7</v>
      </c>
      <c r="T22" s="27" t="s">
        <v>145</v>
      </c>
      <c r="U22" s="13" t="str">
        <f t="shared" si="0"/>
        <v>At Risk</v>
      </c>
    </row>
    <row r="23" spans="1:21" x14ac:dyDescent="0.3">
      <c r="A23" s="9" t="s">
        <v>61</v>
      </c>
      <c r="B23" s="12">
        <v>41</v>
      </c>
      <c r="C23" s="13" t="s">
        <v>24</v>
      </c>
      <c r="D23" s="13" t="s">
        <v>44</v>
      </c>
      <c r="E23" s="12">
        <v>60528</v>
      </c>
      <c r="F23" s="13" t="s">
        <v>38</v>
      </c>
      <c r="G23" s="12">
        <v>1</v>
      </c>
      <c r="H23" s="12">
        <v>4764</v>
      </c>
      <c r="I23" s="12">
        <v>4764</v>
      </c>
      <c r="J23" s="13" t="s">
        <v>39</v>
      </c>
      <c r="K23" s="13" t="s">
        <v>34</v>
      </c>
      <c r="L23" s="13" t="s">
        <v>28</v>
      </c>
      <c r="M23" s="13" t="s">
        <v>29</v>
      </c>
      <c r="N23" s="13" t="s">
        <v>29</v>
      </c>
      <c r="O23" s="21">
        <v>46103</v>
      </c>
      <c r="P23" s="26">
        <v>1</v>
      </c>
      <c r="Q23" s="13">
        <v>1</v>
      </c>
      <c r="R23" s="13">
        <v>2</v>
      </c>
      <c r="S23" s="13">
        <v>4</v>
      </c>
      <c r="T23" s="27" t="s">
        <v>146</v>
      </c>
      <c r="U23" s="13" t="str">
        <f t="shared" si="0"/>
        <v>Retained</v>
      </c>
    </row>
    <row r="24" spans="1:21" x14ac:dyDescent="0.3">
      <c r="A24" s="9" t="s">
        <v>62</v>
      </c>
      <c r="B24" s="12">
        <v>41</v>
      </c>
      <c r="C24" s="13" t="s">
        <v>16</v>
      </c>
      <c r="D24" s="13" t="s">
        <v>31</v>
      </c>
      <c r="E24" s="12">
        <v>62298</v>
      </c>
      <c r="F24" s="13" t="s">
        <v>38</v>
      </c>
      <c r="G24" s="12">
        <v>11</v>
      </c>
      <c r="H24" s="12">
        <v>3941</v>
      </c>
      <c r="I24" s="12">
        <v>43351</v>
      </c>
      <c r="J24" s="13" t="s">
        <v>33</v>
      </c>
      <c r="K24" s="13" t="s">
        <v>20</v>
      </c>
      <c r="L24" s="13" t="s">
        <v>28</v>
      </c>
      <c r="M24" s="13" t="s">
        <v>35</v>
      </c>
      <c r="N24" s="13" t="s">
        <v>35</v>
      </c>
      <c r="O24" s="21">
        <v>46059</v>
      </c>
      <c r="P24" s="26">
        <v>3</v>
      </c>
      <c r="Q24" s="13">
        <v>3</v>
      </c>
      <c r="R24" s="13">
        <v>1</v>
      </c>
      <c r="S24" s="13">
        <v>7</v>
      </c>
      <c r="T24" s="27" t="s">
        <v>145</v>
      </c>
      <c r="U24" s="13" t="str">
        <f t="shared" si="0"/>
        <v>At Risk</v>
      </c>
    </row>
    <row r="25" spans="1:21" x14ac:dyDescent="0.3">
      <c r="A25" s="9" t="s">
        <v>63</v>
      </c>
      <c r="B25" s="12">
        <v>50</v>
      </c>
      <c r="C25" s="13" t="s">
        <v>16</v>
      </c>
      <c r="D25" s="13" t="s">
        <v>25</v>
      </c>
      <c r="E25" s="12">
        <v>42100</v>
      </c>
      <c r="F25" s="13" t="s">
        <v>38</v>
      </c>
      <c r="G25" s="12">
        <v>10</v>
      </c>
      <c r="H25" s="12">
        <v>3465</v>
      </c>
      <c r="I25" s="12">
        <v>34650</v>
      </c>
      <c r="J25" s="13" t="s">
        <v>33</v>
      </c>
      <c r="K25" s="13" t="s">
        <v>20</v>
      </c>
      <c r="L25" s="13" t="s">
        <v>28</v>
      </c>
      <c r="M25" s="13" t="s">
        <v>22</v>
      </c>
      <c r="N25" s="13" t="s">
        <v>22</v>
      </c>
      <c r="O25" s="21">
        <v>46073</v>
      </c>
      <c r="P25" s="26">
        <v>3</v>
      </c>
      <c r="Q25" s="13">
        <v>3</v>
      </c>
      <c r="R25" s="13">
        <v>3</v>
      </c>
      <c r="S25" s="13">
        <v>9</v>
      </c>
      <c r="T25" s="27" t="s">
        <v>147</v>
      </c>
      <c r="U25" s="13" t="str">
        <f t="shared" si="0"/>
        <v>At Risk</v>
      </c>
    </row>
    <row r="26" spans="1:21" x14ac:dyDescent="0.3">
      <c r="A26" s="9" t="s">
        <v>64</v>
      </c>
      <c r="B26" s="12">
        <v>34</v>
      </c>
      <c r="C26" s="13" t="s">
        <v>16</v>
      </c>
      <c r="D26" s="13" t="s">
        <v>44</v>
      </c>
      <c r="E26" s="12">
        <v>99753</v>
      </c>
      <c r="F26" s="13" t="s">
        <v>42</v>
      </c>
      <c r="G26" s="12">
        <v>4</v>
      </c>
      <c r="H26" s="12">
        <v>566</v>
      </c>
      <c r="I26" s="12">
        <v>2264</v>
      </c>
      <c r="J26" s="13" t="s">
        <v>27</v>
      </c>
      <c r="K26" s="13" t="s">
        <v>34</v>
      </c>
      <c r="L26" s="13" t="s">
        <v>21</v>
      </c>
      <c r="M26" s="13" t="s">
        <v>22</v>
      </c>
      <c r="N26" s="13" t="s">
        <v>35</v>
      </c>
      <c r="O26" s="21">
        <v>46066</v>
      </c>
      <c r="P26" s="26">
        <v>1</v>
      </c>
      <c r="Q26" s="13">
        <v>2</v>
      </c>
      <c r="R26" s="13">
        <v>3</v>
      </c>
      <c r="S26" s="13">
        <v>6</v>
      </c>
      <c r="T26" s="27" t="s">
        <v>145</v>
      </c>
      <c r="U26" s="13" t="str">
        <f t="shared" si="0"/>
        <v>At Risk</v>
      </c>
    </row>
    <row r="27" spans="1:21" x14ac:dyDescent="0.3">
      <c r="A27" s="9" t="s">
        <v>65</v>
      </c>
      <c r="B27" s="12">
        <v>52</v>
      </c>
      <c r="C27" s="13" t="s">
        <v>24</v>
      </c>
      <c r="D27" s="13" t="s">
        <v>25</v>
      </c>
      <c r="E27" s="12">
        <v>69423</v>
      </c>
      <c r="F27" s="13" t="s">
        <v>18</v>
      </c>
      <c r="G27" s="12">
        <v>9</v>
      </c>
      <c r="H27" s="12">
        <v>3699</v>
      </c>
      <c r="I27" s="12">
        <v>33291</v>
      </c>
      <c r="J27" s="13" t="s">
        <v>19</v>
      </c>
      <c r="K27" s="13" t="s">
        <v>34</v>
      </c>
      <c r="L27" s="13" t="s">
        <v>28</v>
      </c>
      <c r="M27" s="13" t="s">
        <v>35</v>
      </c>
      <c r="N27" s="13" t="s">
        <v>29</v>
      </c>
      <c r="O27" s="21">
        <v>46036</v>
      </c>
      <c r="P27" s="26">
        <v>3</v>
      </c>
      <c r="Q27" s="13">
        <v>3</v>
      </c>
      <c r="R27" s="13">
        <v>1</v>
      </c>
      <c r="S27" s="13">
        <v>7</v>
      </c>
      <c r="T27" s="27" t="s">
        <v>145</v>
      </c>
      <c r="U27" s="13" t="str">
        <f t="shared" si="0"/>
        <v>At Risk</v>
      </c>
    </row>
    <row r="28" spans="1:21" x14ac:dyDescent="0.3">
      <c r="A28" s="9" t="s">
        <v>66</v>
      </c>
      <c r="B28" s="12">
        <v>43</v>
      </c>
      <c r="C28" s="13" t="s">
        <v>24</v>
      </c>
      <c r="D28" s="13" t="s">
        <v>37</v>
      </c>
      <c r="E28" s="12">
        <v>36944</v>
      </c>
      <c r="F28" s="13" t="s">
        <v>42</v>
      </c>
      <c r="G28" s="12">
        <v>5</v>
      </c>
      <c r="H28" s="12">
        <v>1887</v>
      </c>
      <c r="I28" s="12">
        <v>9435</v>
      </c>
      <c r="J28" s="13" t="s">
        <v>27</v>
      </c>
      <c r="K28" s="13" t="s">
        <v>34</v>
      </c>
      <c r="L28" s="13" t="s">
        <v>28</v>
      </c>
      <c r="M28" s="13" t="s">
        <v>22</v>
      </c>
      <c r="N28" s="13" t="s">
        <v>22</v>
      </c>
      <c r="O28" s="21">
        <v>46033</v>
      </c>
      <c r="P28" s="26">
        <v>1</v>
      </c>
      <c r="Q28" s="13">
        <v>2</v>
      </c>
      <c r="R28" s="13">
        <v>3</v>
      </c>
      <c r="S28" s="13">
        <v>6</v>
      </c>
      <c r="T28" s="27" t="s">
        <v>145</v>
      </c>
      <c r="U28" s="13" t="str">
        <f t="shared" si="0"/>
        <v>At Risk</v>
      </c>
    </row>
    <row r="29" spans="1:21" x14ac:dyDescent="0.3">
      <c r="A29" s="9" t="s">
        <v>67</v>
      </c>
      <c r="B29" s="12">
        <v>56</v>
      </c>
      <c r="C29" s="13" t="s">
        <v>16</v>
      </c>
      <c r="D29" s="13" t="s">
        <v>37</v>
      </c>
      <c r="E29" s="12">
        <v>25584</v>
      </c>
      <c r="F29" s="13" t="s">
        <v>42</v>
      </c>
      <c r="G29" s="12">
        <v>7</v>
      </c>
      <c r="H29" s="12">
        <v>2129</v>
      </c>
      <c r="I29" s="12">
        <v>14903</v>
      </c>
      <c r="J29" s="13" t="s">
        <v>19</v>
      </c>
      <c r="K29" s="13" t="s">
        <v>34</v>
      </c>
      <c r="L29" s="13" t="s">
        <v>28</v>
      </c>
      <c r="M29" s="13" t="s">
        <v>22</v>
      </c>
      <c r="N29" s="13" t="s">
        <v>29</v>
      </c>
      <c r="O29" s="21">
        <v>46102</v>
      </c>
      <c r="P29" s="26">
        <v>2</v>
      </c>
      <c r="Q29" s="13">
        <v>2</v>
      </c>
      <c r="R29" s="13">
        <v>3</v>
      </c>
      <c r="S29" s="13">
        <v>7</v>
      </c>
      <c r="T29" s="27" t="s">
        <v>145</v>
      </c>
      <c r="U29" s="13" t="str">
        <f t="shared" si="0"/>
        <v>Retained</v>
      </c>
    </row>
    <row r="30" spans="1:21" x14ac:dyDescent="0.3">
      <c r="A30" s="9" t="s">
        <v>68</v>
      </c>
      <c r="B30" s="12">
        <v>22</v>
      </c>
      <c r="C30" s="13" t="s">
        <v>24</v>
      </c>
      <c r="D30" s="13" t="s">
        <v>17</v>
      </c>
      <c r="E30" s="12">
        <v>72375</v>
      </c>
      <c r="F30" s="13" t="s">
        <v>18</v>
      </c>
      <c r="G30" s="12">
        <v>6</v>
      </c>
      <c r="H30" s="12">
        <v>929</v>
      </c>
      <c r="I30" s="12">
        <v>5574</v>
      </c>
      <c r="J30" s="13" t="s">
        <v>27</v>
      </c>
      <c r="K30" s="13" t="s">
        <v>20</v>
      </c>
      <c r="L30" s="13" t="s">
        <v>28</v>
      </c>
      <c r="M30" s="13" t="s">
        <v>29</v>
      </c>
      <c r="N30" s="13" t="s">
        <v>29</v>
      </c>
      <c r="O30" s="21">
        <v>46061</v>
      </c>
      <c r="P30" s="26">
        <v>1</v>
      </c>
      <c r="Q30" s="13">
        <v>2</v>
      </c>
      <c r="R30" s="13">
        <v>2</v>
      </c>
      <c r="S30" s="13">
        <v>5</v>
      </c>
      <c r="T30" s="27" t="s">
        <v>145</v>
      </c>
      <c r="U30" s="13" t="str">
        <f t="shared" si="0"/>
        <v>At Risk</v>
      </c>
    </row>
    <row r="31" spans="1:21" x14ac:dyDescent="0.3">
      <c r="A31" s="9" t="s">
        <v>69</v>
      </c>
      <c r="B31" s="12">
        <v>60</v>
      </c>
      <c r="C31" s="13" t="s">
        <v>24</v>
      </c>
      <c r="D31" s="13" t="s">
        <v>37</v>
      </c>
      <c r="E31" s="12">
        <v>29365</v>
      </c>
      <c r="F31" s="13" t="s">
        <v>26</v>
      </c>
      <c r="G31" s="12">
        <v>11</v>
      </c>
      <c r="H31" s="12">
        <v>2170</v>
      </c>
      <c r="I31" s="12">
        <v>23870</v>
      </c>
      <c r="J31" s="13" t="s">
        <v>19</v>
      </c>
      <c r="K31" s="13" t="s">
        <v>34</v>
      </c>
      <c r="L31" s="13" t="s">
        <v>21</v>
      </c>
      <c r="M31" s="13" t="s">
        <v>22</v>
      </c>
      <c r="N31" s="13" t="s">
        <v>22</v>
      </c>
      <c r="O31" s="21">
        <v>46088</v>
      </c>
      <c r="P31" s="26">
        <v>2</v>
      </c>
      <c r="Q31" s="13">
        <v>3</v>
      </c>
      <c r="R31" s="13">
        <v>3</v>
      </c>
      <c r="S31" s="13">
        <v>8</v>
      </c>
      <c r="T31" s="27" t="s">
        <v>147</v>
      </c>
      <c r="U31" s="13" t="str">
        <f t="shared" si="0"/>
        <v>Retained</v>
      </c>
    </row>
    <row r="32" spans="1:21" x14ac:dyDescent="0.3">
      <c r="A32" s="9" t="s">
        <v>70</v>
      </c>
      <c r="B32" s="12">
        <v>59</v>
      </c>
      <c r="C32" s="13" t="s">
        <v>16</v>
      </c>
      <c r="D32" s="13" t="s">
        <v>31</v>
      </c>
      <c r="E32" s="12">
        <v>49757</v>
      </c>
      <c r="F32" s="13" t="s">
        <v>42</v>
      </c>
      <c r="G32" s="12">
        <v>6</v>
      </c>
      <c r="H32" s="12">
        <v>2564</v>
      </c>
      <c r="I32" s="12">
        <v>15384</v>
      </c>
      <c r="J32" s="13" t="s">
        <v>33</v>
      </c>
      <c r="K32" s="13" t="s">
        <v>34</v>
      </c>
      <c r="L32" s="13" t="s">
        <v>28</v>
      </c>
      <c r="M32" s="13" t="s">
        <v>35</v>
      </c>
      <c r="N32" s="13" t="s">
        <v>29</v>
      </c>
      <c r="O32" s="21">
        <v>46077</v>
      </c>
      <c r="P32" s="26">
        <v>2</v>
      </c>
      <c r="Q32" s="13">
        <v>2</v>
      </c>
      <c r="R32" s="13">
        <v>1</v>
      </c>
      <c r="S32" s="13">
        <v>5</v>
      </c>
      <c r="T32" s="27" t="s">
        <v>145</v>
      </c>
      <c r="U32" s="13" t="str">
        <f t="shared" si="0"/>
        <v>At Risk</v>
      </c>
    </row>
    <row r="33" spans="1:21" x14ac:dyDescent="0.3">
      <c r="A33" s="9" t="s">
        <v>71</v>
      </c>
      <c r="B33" s="12">
        <v>55</v>
      </c>
      <c r="C33" s="13" t="s">
        <v>24</v>
      </c>
      <c r="D33" s="13" t="s">
        <v>37</v>
      </c>
      <c r="E33" s="12">
        <v>86123</v>
      </c>
      <c r="F33" s="13" t="s">
        <v>38</v>
      </c>
      <c r="G33" s="12">
        <v>2</v>
      </c>
      <c r="H33" s="12">
        <v>2211</v>
      </c>
      <c r="I33" s="12">
        <v>4422</v>
      </c>
      <c r="J33" s="13" t="s">
        <v>39</v>
      </c>
      <c r="K33" s="13" t="s">
        <v>34</v>
      </c>
      <c r="L33" s="13" t="s">
        <v>28</v>
      </c>
      <c r="M33" s="13" t="s">
        <v>22</v>
      </c>
      <c r="N33" s="13" t="s">
        <v>35</v>
      </c>
      <c r="O33" s="21">
        <v>46062</v>
      </c>
      <c r="P33" s="26">
        <v>1</v>
      </c>
      <c r="Q33" s="13">
        <v>1</v>
      </c>
      <c r="R33" s="13">
        <v>3</v>
      </c>
      <c r="S33" s="13">
        <v>5</v>
      </c>
      <c r="T33" s="27" t="s">
        <v>145</v>
      </c>
      <c r="U33" s="13" t="str">
        <f t="shared" si="0"/>
        <v>At Risk</v>
      </c>
    </row>
    <row r="34" spans="1:21" x14ac:dyDescent="0.3">
      <c r="A34" s="9" t="s">
        <v>72</v>
      </c>
      <c r="B34" s="12">
        <v>25</v>
      </c>
      <c r="C34" s="13" t="s">
        <v>16</v>
      </c>
      <c r="D34" s="13" t="s">
        <v>41</v>
      </c>
      <c r="E34" s="12">
        <v>62759</v>
      </c>
      <c r="F34" s="13" t="s">
        <v>18</v>
      </c>
      <c r="G34" s="12">
        <v>8</v>
      </c>
      <c r="H34" s="12">
        <v>4795</v>
      </c>
      <c r="I34" s="12">
        <v>38360</v>
      </c>
      <c r="J34" s="13" t="s">
        <v>27</v>
      </c>
      <c r="K34" s="13" t="s">
        <v>34</v>
      </c>
      <c r="L34" s="13" t="s">
        <v>28</v>
      </c>
      <c r="M34" s="13" t="s">
        <v>29</v>
      </c>
      <c r="N34" s="13" t="s">
        <v>35</v>
      </c>
      <c r="O34" s="21">
        <v>46058</v>
      </c>
      <c r="P34" s="26">
        <v>3</v>
      </c>
      <c r="Q34" s="13">
        <v>3</v>
      </c>
      <c r="R34" s="13">
        <v>2</v>
      </c>
      <c r="S34" s="13">
        <v>8</v>
      </c>
      <c r="T34" s="27" t="s">
        <v>147</v>
      </c>
      <c r="U34" s="13" t="str">
        <f t="shared" ref="U34:U65" si="1">IF(DATE(2026,3,31)-O34&lt;=30,"Retained","At Risk")</f>
        <v>At Risk</v>
      </c>
    </row>
    <row r="35" spans="1:21" x14ac:dyDescent="0.3">
      <c r="A35" s="9" t="s">
        <v>73</v>
      </c>
      <c r="B35" s="12">
        <v>58</v>
      </c>
      <c r="C35" s="13" t="s">
        <v>24</v>
      </c>
      <c r="D35" s="13" t="s">
        <v>41</v>
      </c>
      <c r="E35" s="12">
        <v>81366</v>
      </c>
      <c r="F35" s="13" t="s">
        <v>18</v>
      </c>
      <c r="G35" s="12">
        <v>6</v>
      </c>
      <c r="H35" s="12">
        <v>3613</v>
      </c>
      <c r="I35" s="12">
        <v>21678</v>
      </c>
      <c r="J35" s="13" t="s">
        <v>27</v>
      </c>
      <c r="K35" s="13" t="s">
        <v>20</v>
      </c>
      <c r="L35" s="13" t="s">
        <v>21</v>
      </c>
      <c r="M35" s="13" t="s">
        <v>35</v>
      </c>
      <c r="N35" s="13" t="s">
        <v>35</v>
      </c>
      <c r="O35" s="21">
        <v>46031</v>
      </c>
      <c r="P35" s="26">
        <v>2</v>
      </c>
      <c r="Q35" s="13">
        <v>2</v>
      </c>
      <c r="R35" s="13">
        <v>1</v>
      </c>
      <c r="S35" s="13">
        <v>5</v>
      </c>
      <c r="T35" s="27" t="s">
        <v>145</v>
      </c>
      <c r="U35" s="13" t="str">
        <f t="shared" si="1"/>
        <v>At Risk</v>
      </c>
    </row>
    <row r="36" spans="1:21" x14ac:dyDescent="0.3">
      <c r="A36" s="9" t="s">
        <v>74</v>
      </c>
      <c r="B36" s="12">
        <v>51</v>
      </c>
      <c r="C36" s="13" t="s">
        <v>16</v>
      </c>
      <c r="D36" s="13" t="s">
        <v>37</v>
      </c>
      <c r="E36" s="12">
        <v>88402</v>
      </c>
      <c r="F36" s="13" t="s">
        <v>18</v>
      </c>
      <c r="G36" s="12">
        <v>3</v>
      </c>
      <c r="H36" s="12">
        <v>2374</v>
      </c>
      <c r="I36" s="12">
        <v>7122</v>
      </c>
      <c r="J36" s="13" t="s">
        <v>27</v>
      </c>
      <c r="K36" s="13" t="s">
        <v>20</v>
      </c>
      <c r="L36" s="13" t="s">
        <v>28</v>
      </c>
      <c r="M36" s="13" t="s">
        <v>29</v>
      </c>
      <c r="N36" s="13" t="s">
        <v>29</v>
      </c>
      <c r="O36" s="21">
        <v>46112</v>
      </c>
      <c r="P36" s="26">
        <v>1</v>
      </c>
      <c r="Q36" s="13">
        <v>1</v>
      </c>
      <c r="R36" s="13">
        <v>2</v>
      </c>
      <c r="S36" s="13">
        <v>4</v>
      </c>
      <c r="T36" s="27" t="s">
        <v>146</v>
      </c>
      <c r="U36" s="13" t="str">
        <f t="shared" si="1"/>
        <v>Retained</v>
      </c>
    </row>
    <row r="37" spans="1:21" x14ac:dyDescent="0.3">
      <c r="A37" s="9" t="s">
        <v>75</v>
      </c>
      <c r="B37" s="12">
        <v>39</v>
      </c>
      <c r="C37" s="13" t="s">
        <v>24</v>
      </c>
      <c r="D37" s="13" t="s">
        <v>31</v>
      </c>
      <c r="E37" s="12">
        <v>84069</v>
      </c>
      <c r="F37" s="13" t="s">
        <v>18</v>
      </c>
      <c r="G37" s="12">
        <v>4</v>
      </c>
      <c r="H37" s="12">
        <v>2667</v>
      </c>
      <c r="I37" s="12">
        <v>10668</v>
      </c>
      <c r="J37" s="13" t="s">
        <v>19</v>
      </c>
      <c r="K37" s="13" t="s">
        <v>20</v>
      </c>
      <c r="L37" s="13" t="s">
        <v>21</v>
      </c>
      <c r="M37" s="13" t="s">
        <v>29</v>
      </c>
      <c r="N37" s="13" t="s">
        <v>22</v>
      </c>
      <c r="O37" s="21">
        <v>46075</v>
      </c>
      <c r="P37" s="26">
        <v>2</v>
      </c>
      <c r="Q37" s="13">
        <v>2</v>
      </c>
      <c r="R37" s="13">
        <v>2</v>
      </c>
      <c r="S37" s="13">
        <v>6</v>
      </c>
      <c r="T37" s="27" t="s">
        <v>145</v>
      </c>
      <c r="U37" s="13" t="str">
        <f t="shared" si="1"/>
        <v>At Risk</v>
      </c>
    </row>
    <row r="38" spans="1:21" x14ac:dyDescent="0.3">
      <c r="A38" s="9" t="s">
        <v>76</v>
      </c>
      <c r="B38" s="12">
        <v>36</v>
      </c>
      <c r="C38" s="13" t="s">
        <v>24</v>
      </c>
      <c r="D38" s="13" t="s">
        <v>25</v>
      </c>
      <c r="E38" s="12">
        <v>34359</v>
      </c>
      <c r="F38" s="13" t="s">
        <v>26</v>
      </c>
      <c r="G38" s="12">
        <v>7</v>
      </c>
      <c r="H38" s="12">
        <v>2265</v>
      </c>
      <c r="I38" s="12">
        <v>15855</v>
      </c>
      <c r="J38" s="13" t="s">
        <v>33</v>
      </c>
      <c r="K38" s="13" t="s">
        <v>34</v>
      </c>
      <c r="L38" s="13" t="s">
        <v>21</v>
      </c>
      <c r="M38" s="13" t="s">
        <v>35</v>
      </c>
      <c r="N38" s="13" t="s">
        <v>35</v>
      </c>
      <c r="O38" s="21">
        <v>46101</v>
      </c>
      <c r="P38" s="26">
        <v>2</v>
      </c>
      <c r="Q38" s="13">
        <v>2</v>
      </c>
      <c r="R38" s="13">
        <v>1</v>
      </c>
      <c r="S38" s="13">
        <v>5</v>
      </c>
      <c r="T38" s="27" t="s">
        <v>145</v>
      </c>
      <c r="U38" s="13" t="str">
        <f t="shared" si="1"/>
        <v>Retained</v>
      </c>
    </row>
    <row r="39" spans="1:21" x14ac:dyDescent="0.3">
      <c r="A39" s="9" t="s">
        <v>77</v>
      </c>
      <c r="B39" s="12">
        <v>25</v>
      </c>
      <c r="C39" s="13" t="s">
        <v>24</v>
      </c>
      <c r="D39" s="13" t="s">
        <v>44</v>
      </c>
      <c r="E39" s="12">
        <v>43832</v>
      </c>
      <c r="F39" s="13" t="s">
        <v>32</v>
      </c>
      <c r="G39" s="12">
        <v>8</v>
      </c>
      <c r="H39" s="12">
        <v>4092</v>
      </c>
      <c r="I39" s="12">
        <v>32736</v>
      </c>
      <c r="J39" s="13" t="s">
        <v>27</v>
      </c>
      <c r="K39" s="13" t="s">
        <v>20</v>
      </c>
      <c r="L39" s="13" t="s">
        <v>28</v>
      </c>
      <c r="M39" s="13" t="s">
        <v>22</v>
      </c>
      <c r="N39" s="13" t="s">
        <v>29</v>
      </c>
      <c r="O39" s="21">
        <v>46105</v>
      </c>
      <c r="P39" s="26">
        <v>3</v>
      </c>
      <c r="Q39" s="13">
        <v>3</v>
      </c>
      <c r="R39" s="13">
        <v>3</v>
      </c>
      <c r="S39" s="13">
        <v>9</v>
      </c>
      <c r="T39" s="27" t="s">
        <v>147</v>
      </c>
      <c r="U39" s="13" t="str">
        <f t="shared" si="1"/>
        <v>Retained</v>
      </c>
    </row>
    <row r="40" spans="1:21" x14ac:dyDescent="0.3">
      <c r="A40" s="9" t="s">
        <v>78</v>
      </c>
      <c r="B40" s="12">
        <v>29</v>
      </c>
      <c r="C40" s="13" t="s">
        <v>16</v>
      </c>
      <c r="D40" s="13" t="s">
        <v>31</v>
      </c>
      <c r="E40" s="12">
        <v>82700</v>
      </c>
      <c r="F40" s="13" t="s">
        <v>18</v>
      </c>
      <c r="G40" s="12">
        <v>3</v>
      </c>
      <c r="H40" s="12">
        <v>3902</v>
      </c>
      <c r="I40" s="12">
        <v>11706</v>
      </c>
      <c r="J40" s="13" t="s">
        <v>39</v>
      </c>
      <c r="K40" s="13" t="s">
        <v>34</v>
      </c>
      <c r="L40" s="13" t="s">
        <v>28</v>
      </c>
      <c r="M40" s="13" t="s">
        <v>35</v>
      </c>
      <c r="N40" s="13" t="s">
        <v>35</v>
      </c>
      <c r="O40" s="21">
        <v>46086</v>
      </c>
      <c r="P40" s="26">
        <v>2</v>
      </c>
      <c r="Q40" s="13">
        <v>1</v>
      </c>
      <c r="R40" s="13">
        <v>1</v>
      </c>
      <c r="S40" s="13">
        <v>4</v>
      </c>
      <c r="T40" s="27" t="s">
        <v>146</v>
      </c>
      <c r="U40" s="13" t="str">
        <f t="shared" si="1"/>
        <v>Retained</v>
      </c>
    </row>
    <row r="41" spans="1:21" x14ac:dyDescent="0.3">
      <c r="A41" s="9" t="s">
        <v>79</v>
      </c>
      <c r="B41" s="12">
        <v>31</v>
      </c>
      <c r="C41" s="13" t="s">
        <v>16</v>
      </c>
      <c r="D41" s="13" t="s">
        <v>44</v>
      </c>
      <c r="E41" s="12">
        <v>91135</v>
      </c>
      <c r="F41" s="13" t="s">
        <v>26</v>
      </c>
      <c r="G41" s="12">
        <v>11</v>
      </c>
      <c r="H41" s="12">
        <v>2032</v>
      </c>
      <c r="I41" s="12">
        <v>22352</v>
      </c>
      <c r="J41" s="13" t="s">
        <v>33</v>
      </c>
      <c r="K41" s="13" t="s">
        <v>34</v>
      </c>
      <c r="L41" s="13" t="s">
        <v>28</v>
      </c>
      <c r="M41" s="13" t="s">
        <v>29</v>
      </c>
      <c r="N41" s="13" t="s">
        <v>35</v>
      </c>
      <c r="O41" s="21">
        <v>46101</v>
      </c>
      <c r="P41" s="26">
        <v>2</v>
      </c>
      <c r="Q41" s="13">
        <v>3</v>
      </c>
      <c r="R41" s="13">
        <v>2</v>
      </c>
      <c r="S41" s="13">
        <v>7</v>
      </c>
      <c r="T41" s="27" t="s">
        <v>145</v>
      </c>
      <c r="U41" s="13" t="str">
        <f t="shared" si="1"/>
        <v>Retained</v>
      </c>
    </row>
    <row r="42" spans="1:21" x14ac:dyDescent="0.3">
      <c r="A42" s="9" t="s">
        <v>80</v>
      </c>
      <c r="B42" s="12">
        <v>23</v>
      </c>
      <c r="C42" s="13" t="s">
        <v>24</v>
      </c>
      <c r="D42" s="13" t="s">
        <v>37</v>
      </c>
      <c r="E42" s="12">
        <v>50960</v>
      </c>
      <c r="F42" s="13" t="s">
        <v>42</v>
      </c>
      <c r="G42" s="12">
        <v>8</v>
      </c>
      <c r="H42" s="12">
        <v>3294</v>
      </c>
      <c r="I42" s="12">
        <v>26352</v>
      </c>
      <c r="J42" s="13" t="s">
        <v>39</v>
      </c>
      <c r="K42" s="13" t="s">
        <v>20</v>
      </c>
      <c r="L42" s="13" t="s">
        <v>28</v>
      </c>
      <c r="M42" s="13" t="s">
        <v>29</v>
      </c>
      <c r="N42" s="13" t="s">
        <v>29</v>
      </c>
      <c r="O42" s="21">
        <v>46059</v>
      </c>
      <c r="P42" s="26">
        <v>3</v>
      </c>
      <c r="Q42" s="13">
        <v>3</v>
      </c>
      <c r="R42" s="13">
        <v>2</v>
      </c>
      <c r="S42" s="13">
        <v>8</v>
      </c>
      <c r="T42" s="27" t="s">
        <v>147</v>
      </c>
      <c r="U42" s="13" t="str">
        <f t="shared" si="1"/>
        <v>At Risk</v>
      </c>
    </row>
    <row r="43" spans="1:21" x14ac:dyDescent="0.3">
      <c r="A43" s="9" t="s">
        <v>81</v>
      </c>
      <c r="B43" s="12">
        <v>47</v>
      </c>
      <c r="C43" s="13" t="s">
        <v>24</v>
      </c>
      <c r="D43" s="13" t="s">
        <v>17</v>
      </c>
      <c r="E43" s="12">
        <v>53490</v>
      </c>
      <c r="F43" s="13" t="s">
        <v>42</v>
      </c>
      <c r="G43" s="12">
        <v>10</v>
      </c>
      <c r="H43" s="12">
        <v>700</v>
      </c>
      <c r="I43" s="12">
        <v>7000</v>
      </c>
      <c r="J43" s="13" t="s">
        <v>33</v>
      </c>
      <c r="K43" s="13" t="s">
        <v>34</v>
      </c>
      <c r="L43" s="13" t="s">
        <v>21</v>
      </c>
      <c r="M43" s="13" t="s">
        <v>29</v>
      </c>
      <c r="N43" s="13" t="s">
        <v>35</v>
      </c>
      <c r="O43" s="21">
        <v>46083</v>
      </c>
      <c r="P43" s="26">
        <v>1</v>
      </c>
      <c r="Q43" s="13">
        <v>3</v>
      </c>
      <c r="R43" s="13">
        <v>2</v>
      </c>
      <c r="S43" s="13">
        <v>6</v>
      </c>
      <c r="T43" s="27" t="s">
        <v>145</v>
      </c>
      <c r="U43" s="13" t="str">
        <f t="shared" si="1"/>
        <v>Retained</v>
      </c>
    </row>
    <row r="44" spans="1:21" x14ac:dyDescent="0.3">
      <c r="A44" s="9" t="s">
        <v>82</v>
      </c>
      <c r="B44" s="12">
        <v>34</v>
      </c>
      <c r="C44" s="13" t="s">
        <v>16</v>
      </c>
      <c r="D44" s="13" t="s">
        <v>37</v>
      </c>
      <c r="E44" s="12">
        <v>74058</v>
      </c>
      <c r="F44" s="13" t="s">
        <v>42</v>
      </c>
      <c r="G44" s="12">
        <v>4</v>
      </c>
      <c r="H44" s="12">
        <v>1806</v>
      </c>
      <c r="I44" s="12">
        <v>7224</v>
      </c>
      <c r="J44" s="13" t="s">
        <v>27</v>
      </c>
      <c r="K44" s="13" t="s">
        <v>34</v>
      </c>
      <c r="L44" s="13" t="s">
        <v>28</v>
      </c>
      <c r="M44" s="13" t="s">
        <v>22</v>
      </c>
      <c r="N44" s="13" t="s">
        <v>35</v>
      </c>
      <c r="O44" s="21">
        <v>46044</v>
      </c>
      <c r="P44" s="26">
        <v>1</v>
      </c>
      <c r="Q44" s="13">
        <v>2</v>
      </c>
      <c r="R44" s="13">
        <v>3</v>
      </c>
      <c r="S44" s="13">
        <v>6</v>
      </c>
      <c r="T44" s="27" t="s">
        <v>145</v>
      </c>
      <c r="U44" s="13" t="str">
        <f t="shared" si="1"/>
        <v>At Risk</v>
      </c>
    </row>
    <row r="45" spans="1:21" x14ac:dyDescent="0.3">
      <c r="A45" s="9" t="s">
        <v>83</v>
      </c>
      <c r="B45" s="12">
        <v>27</v>
      </c>
      <c r="C45" s="13" t="s">
        <v>24</v>
      </c>
      <c r="D45" s="13" t="s">
        <v>25</v>
      </c>
      <c r="E45" s="12">
        <v>39001</v>
      </c>
      <c r="F45" s="13" t="s">
        <v>26</v>
      </c>
      <c r="G45" s="12">
        <v>2</v>
      </c>
      <c r="H45" s="12">
        <v>3517</v>
      </c>
      <c r="I45" s="12">
        <v>7034</v>
      </c>
      <c r="J45" s="13" t="s">
        <v>33</v>
      </c>
      <c r="K45" s="13" t="s">
        <v>20</v>
      </c>
      <c r="L45" s="13" t="s">
        <v>28</v>
      </c>
      <c r="M45" s="13" t="s">
        <v>22</v>
      </c>
      <c r="N45" s="13" t="s">
        <v>35</v>
      </c>
      <c r="O45" s="21">
        <v>46071</v>
      </c>
      <c r="P45" s="26">
        <v>1</v>
      </c>
      <c r="Q45" s="13">
        <v>1</v>
      </c>
      <c r="R45" s="13">
        <v>3</v>
      </c>
      <c r="S45" s="13">
        <v>5</v>
      </c>
      <c r="T45" s="27" t="s">
        <v>145</v>
      </c>
      <c r="U45" s="13" t="str">
        <f t="shared" si="1"/>
        <v>At Risk</v>
      </c>
    </row>
    <row r="46" spans="1:21" x14ac:dyDescent="0.3">
      <c r="A46" s="9" t="s">
        <v>84</v>
      </c>
      <c r="B46" s="12">
        <v>36</v>
      </c>
      <c r="C46" s="13" t="s">
        <v>16</v>
      </c>
      <c r="D46" s="13" t="s">
        <v>44</v>
      </c>
      <c r="E46" s="12">
        <v>59073</v>
      </c>
      <c r="F46" s="13" t="s">
        <v>26</v>
      </c>
      <c r="G46" s="12">
        <v>8</v>
      </c>
      <c r="H46" s="12">
        <v>3765</v>
      </c>
      <c r="I46" s="12">
        <v>30120</v>
      </c>
      <c r="J46" s="13" t="s">
        <v>27</v>
      </c>
      <c r="K46" s="13" t="s">
        <v>34</v>
      </c>
      <c r="L46" s="13" t="s">
        <v>21</v>
      </c>
      <c r="M46" s="13" t="s">
        <v>35</v>
      </c>
      <c r="N46" s="13" t="s">
        <v>35</v>
      </c>
      <c r="O46" s="21">
        <v>46100</v>
      </c>
      <c r="P46" s="26">
        <v>3</v>
      </c>
      <c r="Q46" s="13">
        <v>3</v>
      </c>
      <c r="R46" s="13">
        <v>1</v>
      </c>
      <c r="S46" s="13">
        <v>7</v>
      </c>
      <c r="T46" s="27" t="s">
        <v>145</v>
      </c>
      <c r="U46" s="13" t="str">
        <f t="shared" si="1"/>
        <v>Retained</v>
      </c>
    </row>
    <row r="47" spans="1:21" x14ac:dyDescent="0.3">
      <c r="A47" s="9" t="s">
        <v>85</v>
      </c>
      <c r="B47" s="12">
        <v>31</v>
      </c>
      <c r="C47" s="13" t="s">
        <v>24</v>
      </c>
      <c r="D47" s="13" t="s">
        <v>44</v>
      </c>
      <c r="E47" s="12">
        <v>25595</v>
      </c>
      <c r="F47" s="13" t="s">
        <v>38</v>
      </c>
      <c r="G47" s="12">
        <v>1</v>
      </c>
      <c r="H47" s="12">
        <v>2561</v>
      </c>
      <c r="I47" s="12">
        <v>2561</v>
      </c>
      <c r="J47" s="13" t="s">
        <v>19</v>
      </c>
      <c r="K47" s="13" t="s">
        <v>20</v>
      </c>
      <c r="L47" s="13" t="s">
        <v>28</v>
      </c>
      <c r="M47" s="13" t="s">
        <v>22</v>
      </c>
      <c r="N47" s="13" t="s">
        <v>22</v>
      </c>
      <c r="O47" s="21">
        <v>46032</v>
      </c>
      <c r="P47" s="26">
        <v>1</v>
      </c>
      <c r="Q47" s="13">
        <v>1</v>
      </c>
      <c r="R47" s="13">
        <v>3</v>
      </c>
      <c r="S47" s="13">
        <v>5</v>
      </c>
      <c r="T47" s="27" t="s">
        <v>145</v>
      </c>
      <c r="U47" s="13" t="str">
        <f t="shared" si="1"/>
        <v>At Risk</v>
      </c>
    </row>
    <row r="48" spans="1:21" x14ac:dyDescent="0.3">
      <c r="A48" s="9" t="s">
        <v>86</v>
      </c>
      <c r="B48" s="12">
        <v>49</v>
      </c>
      <c r="C48" s="13" t="s">
        <v>24</v>
      </c>
      <c r="D48" s="13" t="s">
        <v>17</v>
      </c>
      <c r="E48" s="12">
        <v>28162</v>
      </c>
      <c r="F48" s="13" t="s">
        <v>42</v>
      </c>
      <c r="G48" s="12">
        <v>9</v>
      </c>
      <c r="H48" s="12">
        <v>3001</v>
      </c>
      <c r="I48" s="12">
        <v>27009</v>
      </c>
      <c r="J48" s="13" t="s">
        <v>27</v>
      </c>
      <c r="K48" s="13" t="s">
        <v>34</v>
      </c>
      <c r="L48" s="13" t="s">
        <v>28</v>
      </c>
      <c r="M48" s="13" t="s">
        <v>35</v>
      </c>
      <c r="N48" s="13" t="s">
        <v>35</v>
      </c>
      <c r="O48" s="21">
        <v>46043</v>
      </c>
      <c r="P48" s="26">
        <v>3</v>
      </c>
      <c r="Q48" s="13">
        <v>3</v>
      </c>
      <c r="R48" s="13">
        <v>1</v>
      </c>
      <c r="S48" s="13">
        <v>7</v>
      </c>
      <c r="T48" s="27" t="s">
        <v>145</v>
      </c>
      <c r="U48" s="13" t="str">
        <f t="shared" si="1"/>
        <v>At Risk</v>
      </c>
    </row>
    <row r="49" spans="1:21" x14ac:dyDescent="0.3">
      <c r="A49" s="9" t="s">
        <v>87</v>
      </c>
      <c r="B49" s="12">
        <v>28</v>
      </c>
      <c r="C49" s="13" t="s">
        <v>24</v>
      </c>
      <c r="D49" s="13" t="s">
        <v>37</v>
      </c>
      <c r="E49" s="12">
        <v>78071</v>
      </c>
      <c r="F49" s="13" t="s">
        <v>18</v>
      </c>
      <c r="G49" s="12">
        <v>4</v>
      </c>
      <c r="H49" s="12">
        <v>3269</v>
      </c>
      <c r="I49" s="12">
        <v>13076</v>
      </c>
      <c r="J49" s="13" t="s">
        <v>27</v>
      </c>
      <c r="K49" s="13" t="s">
        <v>34</v>
      </c>
      <c r="L49" s="13" t="s">
        <v>21</v>
      </c>
      <c r="M49" s="13" t="s">
        <v>35</v>
      </c>
      <c r="N49" s="13" t="s">
        <v>29</v>
      </c>
      <c r="O49" s="21">
        <v>46035</v>
      </c>
      <c r="P49" s="26">
        <v>2</v>
      </c>
      <c r="Q49" s="13">
        <v>2</v>
      </c>
      <c r="R49" s="13">
        <v>1</v>
      </c>
      <c r="S49" s="13">
        <v>5</v>
      </c>
      <c r="T49" s="27" t="s">
        <v>145</v>
      </c>
      <c r="U49" s="13" t="str">
        <f t="shared" si="1"/>
        <v>At Risk</v>
      </c>
    </row>
    <row r="50" spans="1:21" x14ac:dyDescent="0.3">
      <c r="A50" s="9" t="s">
        <v>88</v>
      </c>
      <c r="B50" s="12">
        <v>32</v>
      </c>
      <c r="C50" s="13" t="s">
        <v>24</v>
      </c>
      <c r="D50" s="13" t="s">
        <v>41</v>
      </c>
      <c r="E50" s="12">
        <v>95570</v>
      </c>
      <c r="F50" s="13" t="s">
        <v>38</v>
      </c>
      <c r="G50" s="12">
        <v>3</v>
      </c>
      <c r="H50" s="12">
        <v>598</v>
      </c>
      <c r="I50" s="12">
        <v>1794</v>
      </c>
      <c r="J50" s="13" t="s">
        <v>19</v>
      </c>
      <c r="K50" s="13" t="s">
        <v>20</v>
      </c>
      <c r="L50" s="13" t="s">
        <v>21</v>
      </c>
      <c r="M50" s="13" t="s">
        <v>22</v>
      </c>
      <c r="N50" s="13" t="s">
        <v>22</v>
      </c>
      <c r="O50" s="21">
        <v>46025</v>
      </c>
      <c r="P50" s="26">
        <v>1</v>
      </c>
      <c r="Q50" s="13">
        <v>1</v>
      </c>
      <c r="R50" s="13">
        <v>3</v>
      </c>
      <c r="S50" s="13">
        <v>5</v>
      </c>
      <c r="T50" s="27" t="s">
        <v>145</v>
      </c>
      <c r="U50" s="13" t="str">
        <f t="shared" si="1"/>
        <v>At Risk</v>
      </c>
    </row>
    <row r="51" spans="1:21" x14ac:dyDescent="0.3">
      <c r="A51" s="9" t="s">
        <v>89</v>
      </c>
      <c r="B51" s="12">
        <v>30</v>
      </c>
      <c r="C51" s="13" t="s">
        <v>24</v>
      </c>
      <c r="D51" s="13" t="s">
        <v>41</v>
      </c>
      <c r="E51" s="12">
        <v>65952</v>
      </c>
      <c r="F51" s="13" t="s">
        <v>38</v>
      </c>
      <c r="G51" s="12">
        <v>12</v>
      </c>
      <c r="H51" s="12">
        <v>4948</v>
      </c>
      <c r="I51" s="12">
        <v>59376</v>
      </c>
      <c r="J51" s="13" t="s">
        <v>39</v>
      </c>
      <c r="K51" s="13" t="s">
        <v>34</v>
      </c>
      <c r="L51" s="13" t="s">
        <v>28</v>
      </c>
      <c r="M51" s="13" t="s">
        <v>35</v>
      </c>
      <c r="N51" s="13" t="s">
        <v>29</v>
      </c>
      <c r="O51" s="21">
        <v>46109</v>
      </c>
      <c r="P51" s="26">
        <v>3</v>
      </c>
      <c r="Q51" s="13">
        <v>3</v>
      </c>
      <c r="R51" s="13">
        <v>1</v>
      </c>
      <c r="S51" s="13">
        <v>7</v>
      </c>
      <c r="T51" s="27" t="s">
        <v>145</v>
      </c>
      <c r="U51" s="13" t="str">
        <f t="shared" si="1"/>
        <v>Retained</v>
      </c>
    </row>
    <row r="52" spans="1:21" x14ac:dyDescent="0.3">
      <c r="A52" s="9" t="s">
        <v>90</v>
      </c>
      <c r="B52" s="12">
        <v>55</v>
      </c>
      <c r="C52" s="13" t="s">
        <v>16</v>
      </c>
      <c r="D52" s="13" t="s">
        <v>25</v>
      </c>
      <c r="E52" s="12">
        <v>36189</v>
      </c>
      <c r="F52" s="13" t="s">
        <v>26</v>
      </c>
      <c r="G52" s="12">
        <v>11</v>
      </c>
      <c r="H52" s="12">
        <v>4169</v>
      </c>
      <c r="I52" s="12">
        <v>45859</v>
      </c>
      <c r="J52" s="13" t="s">
        <v>27</v>
      </c>
      <c r="K52" s="13" t="s">
        <v>20</v>
      </c>
      <c r="L52" s="13" t="s">
        <v>28</v>
      </c>
      <c r="M52" s="13" t="s">
        <v>35</v>
      </c>
      <c r="N52" s="13" t="s">
        <v>35</v>
      </c>
      <c r="O52" s="21">
        <v>46096</v>
      </c>
      <c r="P52" s="26">
        <v>3</v>
      </c>
      <c r="Q52" s="13">
        <v>3</v>
      </c>
      <c r="R52" s="13">
        <v>1</v>
      </c>
      <c r="S52" s="13">
        <v>7</v>
      </c>
      <c r="T52" s="27" t="s">
        <v>145</v>
      </c>
      <c r="U52" s="13" t="str">
        <f t="shared" si="1"/>
        <v>Retained</v>
      </c>
    </row>
    <row r="53" spans="1:21" x14ac:dyDescent="0.3">
      <c r="A53" s="9" t="s">
        <v>91</v>
      </c>
      <c r="B53" s="12">
        <v>34</v>
      </c>
      <c r="C53" s="13" t="s">
        <v>24</v>
      </c>
      <c r="D53" s="13" t="s">
        <v>25</v>
      </c>
      <c r="E53" s="12">
        <v>82839</v>
      </c>
      <c r="F53" s="13" t="s">
        <v>26</v>
      </c>
      <c r="G53" s="12">
        <v>11</v>
      </c>
      <c r="H53" s="12">
        <v>3747</v>
      </c>
      <c r="I53" s="12">
        <v>41217</v>
      </c>
      <c r="J53" s="13" t="s">
        <v>27</v>
      </c>
      <c r="K53" s="13" t="s">
        <v>20</v>
      </c>
      <c r="L53" s="13" t="s">
        <v>28</v>
      </c>
      <c r="M53" s="13" t="s">
        <v>29</v>
      </c>
      <c r="N53" s="13" t="s">
        <v>29</v>
      </c>
      <c r="O53" s="21">
        <v>46111</v>
      </c>
      <c r="P53" s="26">
        <v>3</v>
      </c>
      <c r="Q53" s="13">
        <v>3</v>
      </c>
      <c r="R53" s="13">
        <v>2</v>
      </c>
      <c r="S53" s="13">
        <v>8</v>
      </c>
      <c r="T53" s="27" t="s">
        <v>147</v>
      </c>
      <c r="U53" s="13" t="str">
        <f t="shared" si="1"/>
        <v>Retained</v>
      </c>
    </row>
    <row r="54" spans="1:21" x14ac:dyDescent="0.3">
      <c r="A54" s="9" t="s">
        <v>92</v>
      </c>
      <c r="B54" s="12">
        <v>42</v>
      </c>
      <c r="C54" s="13" t="s">
        <v>16</v>
      </c>
      <c r="D54" s="13" t="s">
        <v>41</v>
      </c>
      <c r="E54" s="12">
        <v>79260</v>
      </c>
      <c r="F54" s="13" t="s">
        <v>32</v>
      </c>
      <c r="G54" s="12">
        <v>9</v>
      </c>
      <c r="H54" s="12">
        <v>3471</v>
      </c>
      <c r="I54" s="12">
        <v>31239</v>
      </c>
      <c r="J54" s="13" t="s">
        <v>33</v>
      </c>
      <c r="K54" s="13" t="s">
        <v>34</v>
      </c>
      <c r="L54" s="13" t="s">
        <v>21</v>
      </c>
      <c r="M54" s="13" t="s">
        <v>29</v>
      </c>
      <c r="N54" s="13" t="s">
        <v>22</v>
      </c>
      <c r="O54" s="21">
        <v>46057</v>
      </c>
      <c r="P54" s="26">
        <v>3</v>
      </c>
      <c r="Q54" s="13">
        <v>3</v>
      </c>
      <c r="R54" s="13">
        <v>2</v>
      </c>
      <c r="S54" s="13">
        <v>8</v>
      </c>
      <c r="T54" s="27" t="s">
        <v>147</v>
      </c>
      <c r="U54" s="13" t="str">
        <f t="shared" si="1"/>
        <v>At Risk</v>
      </c>
    </row>
    <row r="55" spans="1:21" x14ac:dyDescent="0.3">
      <c r="A55" s="9" t="s">
        <v>93</v>
      </c>
      <c r="B55" s="12">
        <v>42</v>
      </c>
      <c r="C55" s="13" t="s">
        <v>24</v>
      </c>
      <c r="D55" s="13" t="s">
        <v>17</v>
      </c>
      <c r="E55" s="12">
        <v>98742</v>
      </c>
      <c r="F55" s="13" t="s">
        <v>38</v>
      </c>
      <c r="G55" s="12">
        <v>1</v>
      </c>
      <c r="H55" s="12">
        <v>3444</v>
      </c>
      <c r="I55" s="12">
        <v>3444</v>
      </c>
      <c r="J55" s="13" t="s">
        <v>19</v>
      </c>
      <c r="K55" s="13" t="s">
        <v>20</v>
      </c>
      <c r="L55" s="13" t="s">
        <v>28</v>
      </c>
      <c r="M55" s="13" t="s">
        <v>22</v>
      </c>
      <c r="N55" s="13" t="s">
        <v>22</v>
      </c>
      <c r="O55" s="21">
        <v>46028</v>
      </c>
      <c r="P55" s="26">
        <v>1</v>
      </c>
      <c r="Q55" s="13">
        <v>1</v>
      </c>
      <c r="R55" s="13">
        <v>3</v>
      </c>
      <c r="S55" s="13">
        <v>5</v>
      </c>
      <c r="T55" s="27" t="s">
        <v>145</v>
      </c>
      <c r="U55" s="13" t="str">
        <f t="shared" si="1"/>
        <v>At Risk</v>
      </c>
    </row>
    <row r="56" spans="1:21" x14ac:dyDescent="0.3">
      <c r="A56" s="9" t="s">
        <v>94</v>
      </c>
      <c r="B56" s="12">
        <v>57</v>
      </c>
      <c r="C56" s="13" t="s">
        <v>16</v>
      </c>
      <c r="D56" s="13" t="s">
        <v>37</v>
      </c>
      <c r="E56" s="12">
        <v>37457</v>
      </c>
      <c r="F56" s="13" t="s">
        <v>42</v>
      </c>
      <c r="G56" s="12">
        <v>8</v>
      </c>
      <c r="H56" s="12">
        <v>3842</v>
      </c>
      <c r="I56" s="12">
        <v>30736</v>
      </c>
      <c r="J56" s="13" t="s">
        <v>39</v>
      </c>
      <c r="K56" s="13" t="s">
        <v>20</v>
      </c>
      <c r="L56" s="13" t="s">
        <v>28</v>
      </c>
      <c r="M56" s="13" t="s">
        <v>29</v>
      </c>
      <c r="N56" s="13" t="s">
        <v>35</v>
      </c>
      <c r="O56" s="21">
        <v>46049</v>
      </c>
      <c r="P56" s="26">
        <v>3</v>
      </c>
      <c r="Q56" s="13">
        <v>3</v>
      </c>
      <c r="R56" s="13">
        <v>2</v>
      </c>
      <c r="S56" s="13">
        <v>8</v>
      </c>
      <c r="T56" s="27" t="s">
        <v>147</v>
      </c>
      <c r="U56" s="13" t="str">
        <f t="shared" si="1"/>
        <v>At Risk</v>
      </c>
    </row>
    <row r="57" spans="1:21" x14ac:dyDescent="0.3">
      <c r="A57" s="9" t="s">
        <v>95</v>
      </c>
      <c r="B57" s="12">
        <v>49</v>
      </c>
      <c r="C57" s="13" t="s">
        <v>24</v>
      </c>
      <c r="D57" s="13" t="s">
        <v>31</v>
      </c>
      <c r="E57" s="12">
        <v>84156</v>
      </c>
      <c r="F57" s="13" t="s">
        <v>32</v>
      </c>
      <c r="G57" s="12">
        <v>10</v>
      </c>
      <c r="H57" s="12">
        <v>1175</v>
      </c>
      <c r="I57" s="12">
        <v>11750</v>
      </c>
      <c r="J57" s="13" t="s">
        <v>19</v>
      </c>
      <c r="K57" s="13" t="s">
        <v>34</v>
      </c>
      <c r="L57" s="13" t="s">
        <v>28</v>
      </c>
      <c r="M57" s="13" t="s">
        <v>35</v>
      </c>
      <c r="N57" s="13" t="s">
        <v>29</v>
      </c>
      <c r="O57" s="21">
        <v>46039</v>
      </c>
      <c r="P57" s="26">
        <v>2</v>
      </c>
      <c r="Q57" s="13">
        <v>3</v>
      </c>
      <c r="R57" s="13">
        <v>1</v>
      </c>
      <c r="S57" s="13">
        <v>6</v>
      </c>
      <c r="T57" s="27" t="s">
        <v>145</v>
      </c>
      <c r="U57" s="13" t="str">
        <f t="shared" si="1"/>
        <v>At Risk</v>
      </c>
    </row>
    <row r="58" spans="1:21" x14ac:dyDescent="0.3">
      <c r="A58" s="9" t="s">
        <v>96</v>
      </c>
      <c r="B58" s="12">
        <v>47</v>
      </c>
      <c r="C58" s="13" t="s">
        <v>16</v>
      </c>
      <c r="D58" s="13" t="s">
        <v>31</v>
      </c>
      <c r="E58" s="12">
        <v>57872</v>
      </c>
      <c r="F58" s="13" t="s">
        <v>26</v>
      </c>
      <c r="G58" s="12">
        <v>2</v>
      </c>
      <c r="H58" s="12">
        <v>3620</v>
      </c>
      <c r="I58" s="12">
        <v>7240</v>
      </c>
      <c r="J58" s="13" t="s">
        <v>27</v>
      </c>
      <c r="K58" s="13" t="s">
        <v>20</v>
      </c>
      <c r="L58" s="13" t="s">
        <v>21</v>
      </c>
      <c r="M58" s="13" t="s">
        <v>22</v>
      </c>
      <c r="N58" s="13" t="s">
        <v>29</v>
      </c>
      <c r="O58" s="21">
        <v>46097</v>
      </c>
      <c r="P58" s="26">
        <v>1</v>
      </c>
      <c r="Q58" s="13">
        <v>1</v>
      </c>
      <c r="R58" s="13">
        <v>3</v>
      </c>
      <c r="S58" s="13">
        <v>5</v>
      </c>
      <c r="T58" s="27" t="s">
        <v>145</v>
      </c>
      <c r="U58" s="13" t="str">
        <f t="shared" si="1"/>
        <v>Retained</v>
      </c>
    </row>
    <row r="59" spans="1:21" x14ac:dyDescent="0.3">
      <c r="A59" s="9" t="s">
        <v>97</v>
      </c>
      <c r="B59" s="12">
        <v>23</v>
      </c>
      <c r="C59" s="13" t="s">
        <v>16</v>
      </c>
      <c r="D59" s="13" t="s">
        <v>31</v>
      </c>
      <c r="E59" s="12">
        <v>76947</v>
      </c>
      <c r="F59" s="13" t="s">
        <v>38</v>
      </c>
      <c r="G59" s="12">
        <v>3</v>
      </c>
      <c r="H59" s="12">
        <v>4166</v>
      </c>
      <c r="I59" s="12">
        <v>12498</v>
      </c>
      <c r="J59" s="13" t="s">
        <v>27</v>
      </c>
      <c r="K59" s="13" t="s">
        <v>34</v>
      </c>
      <c r="L59" s="13" t="s">
        <v>28</v>
      </c>
      <c r="M59" s="13" t="s">
        <v>29</v>
      </c>
      <c r="N59" s="13" t="s">
        <v>29</v>
      </c>
      <c r="O59" s="21">
        <v>46101</v>
      </c>
      <c r="P59" s="26">
        <v>2</v>
      </c>
      <c r="Q59" s="13">
        <v>1</v>
      </c>
      <c r="R59" s="13">
        <v>2</v>
      </c>
      <c r="S59" s="13">
        <v>5</v>
      </c>
      <c r="T59" s="27" t="s">
        <v>145</v>
      </c>
      <c r="U59" s="13" t="str">
        <f t="shared" si="1"/>
        <v>Retained</v>
      </c>
    </row>
    <row r="60" spans="1:21" x14ac:dyDescent="0.3">
      <c r="A60" s="9" t="s">
        <v>98</v>
      </c>
      <c r="B60" s="12">
        <v>39</v>
      </c>
      <c r="C60" s="13" t="s">
        <v>24</v>
      </c>
      <c r="D60" s="13" t="s">
        <v>31</v>
      </c>
      <c r="E60" s="12">
        <v>27869</v>
      </c>
      <c r="F60" s="13" t="s">
        <v>38</v>
      </c>
      <c r="G60" s="12">
        <v>9</v>
      </c>
      <c r="H60" s="12">
        <v>1041</v>
      </c>
      <c r="I60" s="12">
        <v>9369</v>
      </c>
      <c r="J60" s="13" t="s">
        <v>33</v>
      </c>
      <c r="K60" s="13" t="s">
        <v>34</v>
      </c>
      <c r="L60" s="13" t="s">
        <v>28</v>
      </c>
      <c r="M60" s="13" t="s">
        <v>22</v>
      </c>
      <c r="N60" s="13" t="s">
        <v>22</v>
      </c>
      <c r="O60" s="21">
        <v>46095</v>
      </c>
      <c r="P60" s="26">
        <v>1</v>
      </c>
      <c r="Q60" s="13">
        <v>3</v>
      </c>
      <c r="R60" s="13">
        <v>3</v>
      </c>
      <c r="S60" s="13">
        <v>7</v>
      </c>
      <c r="T60" s="27" t="s">
        <v>145</v>
      </c>
      <c r="U60" s="13" t="str">
        <f t="shared" si="1"/>
        <v>Retained</v>
      </c>
    </row>
    <row r="61" spans="1:21" x14ac:dyDescent="0.3">
      <c r="A61" s="9" t="s">
        <v>99</v>
      </c>
      <c r="B61" s="12">
        <v>57</v>
      </c>
      <c r="C61" s="13" t="s">
        <v>16</v>
      </c>
      <c r="D61" s="13" t="s">
        <v>37</v>
      </c>
      <c r="E61" s="12">
        <v>63515</v>
      </c>
      <c r="F61" s="13" t="s">
        <v>42</v>
      </c>
      <c r="G61" s="12">
        <v>5</v>
      </c>
      <c r="H61" s="12">
        <v>4400</v>
      </c>
      <c r="I61" s="12">
        <v>22000</v>
      </c>
      <c r="J61" s="13" t="s">
        <v>39</v>
      </c>
      <c r="K61" s="13" t="s">
        <v>34</v>
      </c>
      <c r="L61" s="13" t="s">
        <v>21</v>
      </c>
      <c r="M61" s="13" t="s">
        <v>29</v>
      </c>
      <c r="N61" s="13" t="s">
        <v>35</v>
      </c>
      <c r="O61" s="21">
        <v>46055</v>
      </c>
      <c r="P61" s="26">
        <v>2</v>
      </c>
      <c r="Q61" s="13">
        <v>2</v>
      </c>
      <c r="R61" s="13">
        <v>2</v>
      </c>
      <c r="S61" s="13">
        <v>6</v>
      </c>
      <c r="T61" s="27" t="s">
        <v>145</v>
      </c>
      <c r="U61" s="13" t="str">
        <f t="shared" si="1"/>
        <v>At Risk</v>
      </c>
    </row>
    <row r="62" spans="1:21" x14ac:dyDescent="0.3">
      <c r="A62" s="9" t="s">
        <v>100</v>
      </c>
      <c r="B62" s="12">
        <v>51</v>
      </c>
      <c r="C62" s="13" t="s">
        <v>16</v>
      </c>
      <c r="D62" s="13" t="s">
        <v>44</v>
      </c>
      <c r="E62" s="12">
        <v>58023</v>
      </c>
      <c r="F62" s="13" t="s">
        <v>26</v>
      </c>
      <c r="G62" s="12">
        <v>1</v>
      </c>
      <c r="H62" s="12">
        <v>3322</v>
      </c>
      <c r="I62" s="12">
        <v>3322</v>
      </c>
      <c r="J62" s="13" t="s">
        <v>33</v>
      </c>
      <c r="K62" s="13" t="s">
        <v>34</v>
      </c>
      <c r="L62" s="13" t="s">
        <v>21</v>
      </c>
      <c r="M62" s="13" t="s">
        <v>22</v>
      </c>
      <c r="N62" s="13" t="s">
        <v>35</v>
      </c>
      <c r="O62" s="21">
        <v>46096</v>
      </c>
      <c r="P62" s="26">
        <v>1</v>
      </c>
      <c r="Q62" s="13">
        <v>1</v>
      </c>
      <c r="R62" s="13">
        <v>3</v>
      </c>
      <c r="S62" s="13">
        <v>5</v>
      </c>
      <c r="T62" s="27" t="s">
        <v>145</v>
      </c>
      <c r="U62" s="13" t="str">
        <f t="shared" si="1"/>
        <v>Retained</v>
      </c>
    </row>
    <row r="63" spans="1:21" x14ac:dyDescent="0.3">
      <c r="A63" s="9" t="s">
        <v>101</v>
      </c>
      <c r="B63" s="12">
        <v>39</v>
      </c>
      <c r="C63" s="13" t="s">
        <v>24</v>
      </c>
      <c r="D63" s="13" t="s">
        <v>31</v>
      </c>
      <c r="E63" s="12">
        <v>92549</v>
      </c>
      <c r="F63" s="13" t="s">
        <v>38</v>
      </c>
      <c r="G63" s="12">
        <v>9</v>
      </c>
      <c r="H63" s="12">
        <v>2436</v>
      </c>
      <c r="I63" s="12">
        <v>21924</v>
      </c>
      <c r="J63" s="13" t="s">
        <v>39</v>
      </c>
      <c r="K63" s="13" t="s">
        <v>34</v>
      </c>
      <c r="L63" s="13" t="s">
        <v>28</v>
      </c>
      <c r="M63" s="13" t="s">
        <v>22</v>
      </c>
      <c r="N63" s="13" t="s">
        <v>35</v>
      </c>
      <c r="O63" s="21">
        <v>46051</v>
      </c>
      <c r="P63" s="26">
        <v>2</v>
      </c>
      <c r="Q63" s="13">
        <v>3</v>
      </c>
      <c r="R63" s="13">
        <v>3</v>
      </c>
      <c r="S63" s="13">
        <v>8</v>
      </c>
      <c r="T63" s="27" t="s">
        <v>147</v>
      </c>
      <c r="U63" s="13" t="str">
        <f t="shared" si="1"/>
        <v>At Risk</v>
      </c>
    </row>
    <row r="64" spans="1:21" x14ac:dyDescent="0.3">
      <c r="A64" s="9" t="s">
        <v>102</v>
      </c>
      <c r="B64" s="12">
        <v>50</v>
      </c>
      <c r="C64" s="13" t="s">
        <v>24</v>
      </c>
      <c r="D64" s="13" t="s">
        <v>31</v>
      </c>
      <c r="E64" s="12">
        <v>92035</v>
      </c>
      <c r="F64" s="13" t="s">
        <v>18</v>
      </c>
      <c r="G64" s="12">
        <v>9</v>
      </c>
      <c r="H64" s="12">
        <v>2350</v>
      </c>
      <c r="I64" s="12">
        <v>21150</v>
      </c>
      <c r="J64" s="13" t="s">
        <v>19</v>
      </c>
      <c r="K64" s="13" t="s">
        <v>20</v>
      </c>
      <c r="L64" s="13" t="s">
        <v>21</v>
      </c>
      <c r="M64" s="13" t="s">
        <v>22</v>
      </c>
      <c r="N64" s="13" t="s">
        <v>29</v>
      </c>
      <c r="O64" s="21">
        <v>46108</v>
      </c>
      <c r="P64" s="26">
        <v>2</v>
      </c>
      <c r="Q64" s="13">
        <v>3</v>
      </c>
      <c r="R64" s="13">
        <v>3</v>
      </c>
      <c r="S64" s="13">
        <v>8</v>
      </c>
      <c r="T64" s="27" t="s">
        <v>147</v>
      </c>
      <c r="U64" s="13" t="str">
        <f t="shared" si="1"/>
        <v>Retained</v>
      </c>
    </row>
    <row r="65" spans="1:21" x14ac:dyDescent="0.3">
      <c r="A65" s="9" t="s">
        <v>103</v>
      </c>
      <c r="B65" s="12">
        <v>51</v>
      </c>
      <c r="C65" s="13" t="s">
        <v>16</v>
      </c>
      <c r="D65" s="13" t="s">
        <v>31</v>
      </c>
      <c r="E65" s="12">
        <v>53370</v>
      </c>
      <c r="F65" s="13" t="s">
        <v>32</v>
      </c>
      <c r="G65" s="12">
        <v>10</v>
      </c>
      <c r="H65" s="12">
        <v>4029</v>
      </c>
      <c r="I65" s="12">
        <v>40290</v>
      </c>
      <c r="J65" s="13" t="s">
        <v>33</v>
      </c>
      <c r="K65" s="13" t="s">
        <v>34</v>
      </c>
      <c r="L65" s="13" t="s">
        <v>28</v>
      </c>
      <c r="M65" s="13" t="s">
        <v>35</v>
      </c>
      <c r="N65" s="13" t="s">
        <v>22</v>
      </c>
      <c r="O65" s="21">
        <v>46111</v>
      </c>
      <c r="P65" s="26">
        <v>3</v>
      </c>
      <c r="Q65" s="13">
        <v>3</v>
      </c>
      <c r="R65" s="13">
        <v>1</v>
      </c>
      <c r="S65" s="13">
        <v>7</v>
      </c>
      <c r="T65" s="27" t="s">
        <v>145</v>
      </c>
      <c r="U65" s="13" t="str">
        <f t="shared" si="1"/>
        <v>Retained</v>
      </c>
    </row>
    <row r="66" spans="1:21" x14ac:dyDescent="0.3">
      <c r="A66" s="9" t="s">
        <v>104</v>
      </c>
      <c r="B66" s="12">
        <v>32</v>
      </c>
      <c r="C66" s="13" t="s">
        <v>16</v>
      </c>
      <c r="D66" s="13" t="s">
        <v>25</v>
      </c>
      <c r="E66" s="12">
        <v>50257</v>
      </c>
      <c r="F66" s="13" t="s">
        <v>42</v>
      </c>
      <c r="G66" s="12">
        <v>1</v>
      </c>
      <c r="H66" s="12">
        <v>4005</v>
      </c>
      <c r="I66" s="12">
        <v>4005</v>
      </c>
      <c r="J66" s="13" t="s">
        <v>27</v>
      </c>
      <c r="K66" s="13" t="s">
        <v>20</v>
      </c>
      <c r="L66" s="13" t="s">
        <v>28</v>
      </c>
      <c r="M66" s="13" t="s">
        <v>35</v>
      </c>
      <c r="N66" s="13" t="s">
        <v>22</v>
      </c>
      <c r="O66" s="21">
        <v>46081</v>
      </c>
      <c r="P66" s="26">
        <v>1</v>
      </c>
      <c r="Q66" s="13">
        <v>1</v>
      </c>
      <c r="R66" s="13">
        <v>1</v>
      </c>
      <c r="S66" s="13">
        <v>3</v>
      </c>
      <c r="T66" s="27" t="s">
        <v>146</v>
      </c>
      <c r="U66" s="13" t="str">
        <f t="shared" ref="U66:U101" si="2">IF(DATE(2026,3,31)-O66&lt;=30,"Retained","At Risk")</f>
        <v>At Risk</v>
      </c>
    </row>
    <row r="67" spans="1:21" x14ac:dyDescent="0.3">
      <c r="A67" s="9" t="s">
        <v>105</v>
      </c>
      <c r="B67" s="12">
        <v>38</v>
      </c>
      <c r="C67" s="13" t="s">
        <v>16</v>
      </c>
      <c r="D67" s="13" t="s">
        <v>25</v>
      </c>
      <c r="E67" s="12">
        <v>29041</v>
      </c>
      <c r="F67" s="13" t="s">
        <v>26</v>
      </c>
      <c r="G67" s="12">
        <v>7</v>
      </c>
      <c r="H67" s="12">
        <v>4544</v>
      </c>
      <c r="I67" s="12">
        <v>31808</v>
      </c>
      <c r="J67" s="13" t="s">
        <v>19</v>
      </c>
      <c r="K67" s="13" t="s">
        <v>20</v>
      </c>
      <c r="L67" s="13" t="s">
        <v>28</v>
      </c>
      <c r="M67" s="13" t="s">
        <v>22</v>
      </c>
      <c r="N67" s="13" t="s">
        <v>35</v>
      </c>
      <c r="O67" s="21">
        <v>46102</v>
      </c>
      <c r="P67" s="26">
        <v>3</v>
      </c>
      <c r="Q67" s="13">
        <v>2</v>
      </c>
      <c r="R67" s="13">
        <v>3</v>
      </c>
      <c r="S67" s="13">
        <v>8</v>
      </c>
      <c r="T67" s="27" t="s">
        <v>147</v>
      </c>
      <c r="U67" s="13" t="str">
        <f t="shared" si="2"/>
        <v>Retained</v>
      </c>
    </row>
    <row r="68" spans="1:21" x14ac:dyDescent="0.3">
      <c r="A68" s="9" t="s">
        <v>106</v>
      </c>
      <c r="B68" s="12">
        <v>33</v>
      </c>
      <c r="C68" s="13" t="s">
        <v>24</v>
      </c>
      <c r="D68" s="13" t="s">
        <v>37</v>
      </c>
      <c r="E68" s="12">
        <v>36981</v>
      </c>
      <c r="F68" s="13" t="s">
        <v>18</v>
      </c>
      <c r="G68" s="12">
        <v>4</v>
      </c>
      <c r="H68" s="12">
        <v>1463</v>
      </c>
      <c r="I68" s="12">
        <v>5852</v>
      </c>
      <c r="J68" s="13" t="s">
        <v>33</v>
      </c>
      <c r="K68" s="13" t="s">
        <v>20</v>
      </c>
      <c r="L68" s="13" t="s">
        <v>28</v>
      </c>
      <c r="M68" s="13" t="s">
        <v>35</v>
      </c>
      <c r="N68" s="13" t="s">
        <v>22</v>
      </c>
      <c r="O68" s="21">
        <v>46059</v>
      </c>
      <c r="P68" s="26">
        <v>1</v>
      </c>
      <c r="Q68" s="13">
        <v>2</v>
      </c>
      <c r="R68" s="13">
        <v>1</v>
      </c>
      <c r="S68" s="13">
        <v>4</v>
      </c>
      <c r="T68" s="27" t="s">
        <v>146</v>
      </c>
      <c r="U68" s="13" t="str">
        <f t="shared" si="2"/>
        <v>At Risk</v>
      </c>
    </row>
    <row r="69" spans="1:21" x14ac:dyDescent="0.3">
      <c r="A69" s="9" t="s">
        <v>107</v>
      </c>
      <c r="B69" s="12">
        <v>28</v>
      </c>
      <c r="C69" s="13" t="s">
        <v>16</v>
      </c>
      <c r="D69" s="13" t="s">
        <v>17</v>
      </c>
      <c r="E69" s="12">
        <v>69372</v>
      </c>
      <c r="F69" s="13" t="s">
        <v>38</v>
      </c>
      <c r="G69" s="12">
        <v>8</v>
      </c>
      <c r="H69" s="12">
        <v>2856</v>
      </c>
      <c r="I69" s="12">
        <v>22848</v>
      </c>
      <c r="J69" s="13" t="s">
        <v>19</v>
      </c>
      <c r="K69" s="13" t="s">
        <v>20</v>
      </c>
      <c r="L69" s="13" t="s">
        <v>21</v>
      </c>
      <c r="M69" s="13" t="s">
        <v>35</v>
      </c>
      <c r="N69" s="13" t="s">
        <v>22</v>
      </c>
      <c r="O69" s="21">
        <v>46077</v>
      </c>
      <c r="P69" s="26">
        <v>2</v>
      </c>
      <c r="Q69" s="13">
        <v>3</v>
      </c>
      <c r="R69" s="13">
        <v>1</v>
      </c>
      <c r="S69" s="13">
        <v>6</v>
      </c>
      <c r="T69" s="27" t="s">
        <v>145</v>
      </c>
      <c r="U69" s="13" t="str">
        <f t="shared" si="2"/>
        <v>At Risk</v>
      </c>
    </row>
    <row r="70" spans="1:21" x14ac:dyDescent="0.3">
      <c r="A70" s="9" t="s">
        <v>108</v>
      </c>
      <c r="B70" s="12">
        <v>30</v>
      </c>
      <c r="C70" s="13" t="s">
        <v>24</v>
      </c>
      <c r="D70" s="13" t="s">
        <v>44</v>
      </c>
      <c r="E70" s="12">
        <v>82273</v>
      </c>
      <c r="F70" s="13" t="s">
        <v>42</v>
      </c>
      <c r="G70" s="12">
        <v>10</v>
      </c>
      <c r="H70" s="12">
        <v>3124</v>
      </c>
      <c r="I70" s="12">
        <v>31240</v>
      </c>
      <c r="J70" s="13" t="s">
        <v>27</v>
      </c>
      <c r="K70" s="13" t="s">
        <v>20</v>
      </c>
      <c r="L70" s="13" t="s">
        <v>21</v>
      </c>
      <c r="M70" s="13" t="s">
        <v>29</v>
      </c>
      <c r="N70" s="13" t="s">
        <v>35</v>
      </c>
      <c r="O70" s="21">
        <v>46033</v>
      </c>
      <c r="P70" s="26">
        <v>3</v>
      </c>
      <c r="Q70" s="13">
        <v>3</v>
      </c>
      <c r="R70" s="13">
        <v>2</v>
      </c>
      <c r="S70" s="13">
        <v>8</v>
      </c>
      <c r="T70" s="27" t="s">
        <v>147</v>
      </c>
      <c r="U70" s="13" t="str">
        <f t="shared" si="2"/>
        <v>At Risk</v>
      </c>
    </row>
    <row r="71" spans="1:21" x14ac:dyDescent="0.3">
      <c r="A71" s="9" t="s">
        <v>109</v>
      </c>
      <c r="B71" s="12">
        <v>36</v>
      </c>
      <c r="C71" s="13" t="s">
        <v>16</v>
      </c>
      <c r="D71" s="13" t="s">
        <v>41</v>
      </c>
      <c r="E71" s="12">
        <v>40832</v>
      </c>
      <c r="F71" s="13" t="s">
        <v>42</v>
      </c>
      <c r="G71" s="12">
        <v>12</v>
      </c>
      <c r="H71" s="12">
        <v>3378</v>
      </c>
      <c r="I71" s="12">
        <v>40536</v>
      </c>
      <c r="J71" s="13" t="s">
        <v>27</v>
      </c>
      <c r="K71" s="13" t="s">
        <v>34</v>
      </c>
      <c r="L71" s="13" t="s">
        <v>21</v>
      </c>
      <c r="M71" s="13" t="s">
        <v>29</v>
      </c>
      <c r="N71" s="13" t="s">
        <v>22</v>
      </c>
      <c r="O71" s="21">
        <v>46095</v>
      </c>
      <c r="P71" s="26">
        <v>3</v>
      </c>
      <c r="Q71" s="13">
        <v>3</v>
      </c>
      <c r="R71" s="13">
        <v>2</v>
      </c>
      <c r="S71" s="13">
        <v>8</v>
      </c>
      <c r="T71" s="27" t="s">
        <v>147</v>
      </c>
      <c r="U71" s="13" t="str">
        <f t="shared" si="2"/>
        <v>Retained</v>
      </c>
    </row>
    <row r="72" spans="1:21" x14ac:dyDescent="0.3">
      <c r="A72" s="9" t="s">
        <v>110</v>
      </c>
      <c r="B72" s="12">
        <v>58</v>
      </c>
      <c r="C72" s="13" t="s">
        <v>24</v>
      </c>
      <c r="D72" s="13" t="s">
        <v>37</v>
      </c>
      <c r="E72" s="12">
        <v>42893</v>
      </c>
      <c r="F72" s="13" t="s">
        <v>18</v>
      </c>
      <c r="G72" s="12">
        <v>2</v>
      </c>
      <c r="H72" s="12">
        <v>2380</v>
      </c>
      <c r="I72" s="12">
        <v>4760</v>
      </c>
      <c r="J72" s="13" t="s">
        <v>39</v>
      </c>
      <c r="K72" s="13" t="s">
        <v>20</v>
      </c>
      <c r="L72" s="13" t="s">
        <v>28</v>
      </c>
      <c r="M72" s="13" t="s">
        <v>29</v>
      </c>
      <c r="N72" s="13" t="s">
        <v>35</v>
      </c>
      <c r="O72" s="21">
        <v>46031</v>
      </c>
      <c r="P72" s="26">
        <v>1</v>
      </c>
      <c r="Q72" s="13">
        <v>1</v>
      </c>
      <c r="R72" s="13">
        <v>2</v>
      </c>
      <c r="S72" s="13">
        <v>4</v>
      </c>
      <c r="T72" s="27" t="s">
        <v>146</v>
      </c>
      <c r="U72" s="13" t="str">
        <f t="shared" si="2"/>
        <v>At Risk</v>
      </c>
    </row>
    <row r="73" spans="1:21" x14ac:dyDescent="0.3">
      <c r="A73" s="9" t="s">
        <v>111</v>
      </c>
      <c r="B73" s="12">
        <v>34</v>
      </c>
      <c r="C73" s="13" t="s">
        <v>24</v>
      </c>
      <c r="D73" s="13" t="s">
        <v>17</v>
      </c>
      <c r="E73" s="12">
        <v>28526</v>
      </c>
      <c r="F73" s="13" t="s">
        <v>38</v>
      </c>
      <c r="G73" s="12">
        <v>2</v>
      </c>
      <c r="H73" s="12">
        <v>2054</v>
      </c>
      <c r="I73" s="12">
        <v>4108</v>
      </c>
      <c r="J73" s="13" t="s">
        <v>33</v>
      </c>
      <c r="K73" s="13" t="s">
        <v>20</v>
      </c>
      <c r="L73" s="13" t="s">
        <v>21</v>
      </c>
      <c r="M73" s="13" t="s">
        <v>22</v>
      </c>
      <c r="N73" s="13" t="s">
        <v>35</v>
      </c>
      <c r="O73" s="21">
        <v>46110</v>
      </c>
      <c r="P73" s="26">
        <v>1</v>
      </c>
      <c r="Q73" s="13">
        <v>1</v>
      </c>
      <c r="R73" s="13">
        <v>3</v>
      </c>
      <c r="S73" s="13">
        <v>5</v>
      </c>
      <c r="T73" s="27" t="s">
        <v>145</v>
      </c>
      <c r="U73" s="13" t="str">
        <f t="shared" si="2"/>
        <v>Retained</v>
      </c>
    </row>
    <row r="74" spans="1:21" x14ac:dyDescent="0.3">
      <c r="A74" s="9" t="s">
        <v>112</v>
      </c>
      <c r="B74" s="12">
        <v>38</v>
      </c>
      <c r="C74" s="13" t="s">
        <v>24</v>
      </c>
      <c r="D74" s="13" t="s">
        <v>41</v>
      </c>
      <c r="E74" s="12">
        <v>84687</v>
      </c>
      <c r="F74" s="13" t="s">
        <v>18</v>
      </c>
      <c r="G74" s="12">
        <v>12</v>
      </c>
      <c r="H74" s="12">
        <v>4075</v>
      </c>
      <c r="I74" s="12">
        <v>48900</v>
      </c>
      <c r="J74" s="13" t="s">
        <v>19</v>
      </c>
      <c r="K74" s="13" t="s">
        <v>34</v>
      </c>
      <c r="L74" s="13" t="s">
        <v>21</v>
      </c>
      <c r="M74" s="13" t="s">
        <v>29</v>
      </c>
      <c r="N74" s="13" t="s">
        <v>22</v>
      </c>
      <c r="O74" s="21">
        <v>46054</v>
      </c>
      <c r="P74" s="26">
        <v>3</v>
      </c>
      <c r="Q74" s="13">
        <v>3</v>
      </c>
      <c r="R74" s="13">
        <v>2</v>
      </c>
      <c r="S74" s="13">
        <v>8</v>
      </c>
      <c r="T74" s="27" t="s">
        <v>147</v>
      </c>
      <c r="U74" s="13" t="str">
        <f t="shared" si="2"/>
        <v>At Risk</v>
      </c>
    </row>
    <row r="75" spans="1:21" x14ac:dyDescent="0.3">
      <c r="A75" s="9" t="s">
        <v>113</v>
      </c>
      <c r="B75" s="12">
        <v>37</v>
      </c>
      <c r="C75" s="13" t="s">
        <v>24</v>
      </c>
      <c r="D75" s="13" t="s">
        <v>17</v>
      </c>
      <c r="E75" s="12">
        <v>44646</v>
      </c>
      <c r="F75" s="13" t="s">
        <v>18</v>
      </c>
      <c r="G75" s="12">
        <v>12</v>
      </c>
      <c r="H75" s="12">
        <v>2321</v>
      </c>
      <c r="I75" s="12">
        <v>27852</v>
      </c>
      <c r="J75" s="13" t="s">
        <v>39</v>
      </c>
      <c r="K75" s="13" t="s">
        <v>20</v>
      </c>
      <c r="L75" s="13" t="s">
        <v>28</v>
      </c>
      <c r="M75" s="13" t="s">
        <v>22</v>
      </c>
      <c r="N75" s="13" t="s">
        <v>22</v>
      </c>
      <c r="O75" s="21">
        <v>46048</v>
      </c>
      <c r="P75" s="26">
        <v>3</v>
      </c>
      <c r="Q75" s="13">
        <v>3</v>
      </c>
      <c r="R75" s="13">
        <v>3</v>
      </c>
      <c r="S75" s="13">
        <v>9</v>
      </c>
      <c r="T75" s="27" t="s">
        <v>147</v>
      </c>
      <c r="U75" s="13" t="str">
        <f t="shared" si="2"/>
        <v>At Risk</v>
      </c>
    </row>
    <row r="76" spans="1:21" x14ac:dyDescent="0.3">
      <c r="A76" s="9" t="s">
        <v>114</v>
      </c>
      <c r="B76" s="12">
        <v>42</v>
      </c>
      <c r="C76" s="13" t="s">
        <v>16</v>
      </c>
      <c r="D76" s="13" t="s">
        <v>31</v>
      </c>
      <c r="E76" s="12">
        <v>84925</v>
      </c>
      <c r="F76" s="13" t="s">
        <v>38</v>
      </c>
      <c r="G76" s="12">
        <v>9</v>
      </c>
      <c r="H76" s="12">
        <v>941</v>
      </c>
      <c r="I76" s="12">
        <v>8469</v>
      </c>
      <c r="J76" s="13" t="s">
        <v>39</v>
      </c>
      <c r="K76" s="13" t="s">
        <v>20</v>
      </c>
      <c r="L76" s="13" t="s">
        <v>28</v>
      </c>
      <c r="M76" s="13" t="s">
        <v>35</v>
      </c>
      <c r="N76" s="13" t="s">
        <v>22</v>
      </c>
      <c r="O76" s="21">
        <v>46032</v>
      </c>
      <c r="P76" s="26">
        <v>1</v>
      </c>
      <c r="Q76" s="13">
        <v>3</v>
      </c>
      <c r="R76" s="13">
        <v>1</v>
      </c>
      <c r="S76" s="13">
        <v>5</v>
      </c>
      <c r="T76" s="27" t="s">
        <v>145</v>
      </c>
      <c r="U76" s="13" t="str">
        <f t="shared" si="2"/>
        <v>At Risk</v>
      </c>
    </row>
    <row r="77" spans="1:21" x14ac:dyDescent="0.3">
      <c r="A77" s="9" t="s">
        <v>115</v>
      </c>
      <c r="B77" s="12">
        <v>55</v>
      </c>
      <c r="C77" s="13" t="s">
        <v>24</v>
      </c>
      <c r="D77" s="13" t="s">
        <v>31</v>
      </c>
      <c r="E77" s="12">
        <v>36675</v>
      </c>
      <c r="F77" s="13" t="s">
        <v>18</v>
      </c>
      <c r="G77" s="12">
        <v>1</v>
      </c>
      <c r="H77" s="12">
        <v>2705</v>
      </c>
      <c r="I77" s="12">
        <v>2705</v>
      </c>
      <c r="J77" s="13" t="s">
        <v>19</v>
      </c>
      <c r="K77" s="13" t="s">
        <v>20</v>
      </c>
      <c r="L77" s="13" t="s">
        <v>28</v>
      </c>
      <c r="M77" s="13" t="s">
        <v>22</v>
      </c>
      <c r="N77" s="13" t="s">
        <v>35</v>
      </c>
      <c r="O77" s="21">
        <v>46078</v>
      </c>
      <c r="P77" s="26">
        <v>1</v>
      </c>
      <c r="Q77" s="13">
        <v>1</v>
      </c>
      <c r="R77" s="13">
        <v>3</v>
      </c>
      <c r="S77" s="13">
        <v>5</v>
      </c>
      <c r="T77" s="27" t="s">
        <v>145</v>
      </c>
      <c r="U77" s="13" t="str">
        <f t="shared" si="2"/>
        <v>At Risk</v>
      </c>
    </row>
    <row r="78" spans="1:21" x14ac:dyDescent="0.3">
      <c r="A78" s="9" t="s">
        <v>116</v>
      </c>
      <c r="B78" s="12">
        <v>36</v>
      </c>
      <c r="C78" s="13" t="s">
        <v>24</v>
      </c>
      <c r="D78" s="13" t="s">
        <v>17</v>
      </c>
      <c r="E78" s="12">
        <v>59800</v>
      </c>
      <c r="F78" s="13" t="s">
        <v>18</v>
      </c>
      <c r="G78" s="12">
        <v>3</v>
      </c>
      <c r="H78" s="12">
        <v>1287</v>
      </c>
      <c r="I78" s="12">
        <v>3861</v>
      </c>
      <c r="J78" s="13" t="s">
        <v>39</v>
      </c>
      <c r="K78" s="13" t="s">
        <v>34</v>
      </c>
      <c r="L78" s="13" t="s">
        <v>21</v>
      </c>
      <c r="M78" s="13" t="s">
        <v>29</v>
      </c>
      <c r="N78" s="13" t="s">
        <v>22</v>
      </c>
      <c r="O78" s="21">
        <v>46054</v>
      </c>
      <c r="P78" s="26">
        <v>1</v>
      </c>
      <c r="Q78" s="13">
        <v>1</v>
      </c>
      <c r="R78" s="13">
        <v>2</v>
      </c>
      <c r="S78" s="13">
        <v>4</v>
      </c>
      <c r="T78" s="27" t="s">
        <v>146</v>
      </c>
      <c r="U78" s="13" t="str">
        <f t="shared" si="2"/>
        <v>At Risk</v>
      </c>
    </row>
    <row r="79" spans="1:21" x14ac:dyDescent="0.3">
      <c r="A79" s="9" t="s">
        <v>117</v>
      </c>
      <c r="B79" s="12">
        <v>29</v>
      </c>
      <c r="C79" s="13" t="s">
        <v>16</v>
      </c>
      <c r="D79" s="13" t="s">
        <v>37</v>
      </c>
      <c r="E79" s="12">
        <v>35331</v>
      </c>
      <c r="F79" s="13" t="s">
        <v>38</v>
      </c>
      <c r="G79" s="12">
        <v>4</v>
      </c>
      <c r="H79" s="12">
        <v>2805</v>
      </c>
      <c r="I79" s="12">
        <v>11220</v>
      </c>
      <c r="J79" s="13" t="s">
        <v>19</v>
      </c>
      <c r="K79" s="13" t="s">
        <v>34</v>
      </c>
      <c r="L79" s="13" t="s">
        <v>28</v>
      </c>
      <c r="M79" s="13" t="s">
        <v>29</v>
      </c>
      <c r="N79" s="13" t="s">
        <v>22</v>
      </c>
      <c r="O79" s="21">
        <v>46067</v>
      </c>
      <c r="P79" s="26">
        <v>2</v>
      </c>
      <c r="Q79" s="13">
        <v>2</v>
      </c>
      <c r="R79" s="13">
        <v>2</v>
      </c>
      <c r="S79" s="13">
        <v>6</v>
      </c>
      <c r="T79" s="27" t="s">
        <v>145</v>
      </c>
      <c r="U79" s="13" t="str">
        <f t="shared" si="2"/>
        <v>At Risk</v>
      </c>
    </row>
    <row r="80" spans="1:21" x14ac:dyDescent="0.3">
      <c r="A80" s="9" t="s">
        <v>118</v>
      </c>
      <c r="B80" s="12">
        <v>33</v>
      </c>
      <c r="C80" s="13" t="s">
        <v>16</v>
      </c>
      <c r="D80" s="13" t="s">
        <v>41</v>
      </c>
      <c r="E80" s="12">
        <v>88305</v>
      </c>
      <c r="F80" s="13" t="s">
        <v>18</v>
      </c>
      <c r="G80" s="12">
        <v>4</v>
      </c>
      <c r="H80" s="12">
        <v>981</v>
      </c>
      <c r="I80" s="12">
        <v>3924</v>
      </c>
      <c r="J80" s="13" t="s">
        <v>19</v>
      </c>
      <c r="K80" s="13" t="s">
        <v>20</v>
      </c>
      <c r="L80" s="13" t="s">
        <v>28</v>
      </c>
      <c r="M80" s="13" t="s">
        <v>35</v>
      </c>
      <c r="N80" s="13" t="s">
        <v>35</v>
      </c>
      <c r="O80" s="21">
        <v>46105</v>
      </c>
      <c r="P80" s="26">
        <v>1</v>
      </c>
      <c r="Q80" s="13">
        <v>2</v>
      </c>
      <c r="R80" s="13">
        <v>1</v>
      </c>
      <c r="S80" s="13">
        <v>4</v>
      </c>
      <c r="T80" s="27" t="s">
        <v>146</v>
      </c>
      <c r="U80" s="13" t="str">
        <f t="shared" si="2"/>
        <v>Retained</v>
      </c>
    </row>
    <row r="81" spans="1:21" x14ac:dyDescent="0.3">
      <c r="A81" s="9" t="s">
        <v>119</v>
      </c>
      <c r="B81" s="12">
        <v>54</v>
      </c>
      <c r="C81" s="13" t="s">
        <v>24</v>
      </c>
      <c r="D81" s="13" t="s">
        <v>17</v>
      </c>
      <c r="E81" s="12">
        <v>36873</v>
      </c>
      <c r="F81" s="13" t="s">
        <v>42</v>
      </c>
      <c r="G81" s="12">
        <v>2</v>
      </c>
      <c r="H81" s="12">
        <v>2126</v>
      </c>
      <c r="I81" s="12">
        <v>4252</v>
      </c>
      <c r="J81" s="13" t="s">
        <v>33</v>
      </c>
      <c r="K81" s="13" t="s">
        <v>34</v>
      </c>
      <c r="L81" s="13" t="s">
        <v>21</v>
      </c>
      <c r="M81" s="13" t="s">
        <v>22</v>
      </c>
      <c r="N81" s="13" t="s">
        <v>29</v>
      </c>
      <c r="O81" s="21">
        <v>46087</v>
      </c>
      <c r="P81" s="26">
        <v>1</v>
      </c>
      <c r="Q81" s="13">
        <v>1</v>
      </c>
      <c r="R81" s="13">
        <v>3</v>
      </c>
      <c r="S81" s="13">
        <v>5</v>
      </c>
      <c r="T81" s="27" t="s">
        <v>145</v>
      </c>
      <c r="U81" s="13" t="str">
        <f t="shared" si="2"/>
        <v>Retained</v>
      </c>
    </row>
    <row r="82" spans="1:21" x14ac:dyDescent="0.3">
      <c r="A82" s="9" t="s">
        <v>120</v>
      </c>
      <c r="B82" s="12">
        <v>26</v>
      </c>
      <c r="C82" s="13" t="s">
        <v>16</v>
      </c>
      <c r="D82" s="13" t="s">
        <v>41</v>
      </c>
      <c r="E82" s="12">
        <v>39494</v>
      </c>
      <c r="F82" s="13" t="s">
        <v>18</v>
      </c>
      <c r="G82" s="12">
        <v>6</v>
      </c>
      <c r="H82" s="12">
        <v>3046</v>
      </c>
      <c r="I82" s="12">
        <v>18276</v>
      </c>
      <c r="J82" s="13" t="s">
        <v>33</v>
      </c>
      <c r="K82" s="13" t="s">
        <v>34</v>
      </c>
      <c r="L82" s="13" t="s">
        <v>28</v>
      </c>
      <c r="M82" s="13" t="s">
        <v>29</v>
      </c>
      <c r="N82" s="13" t="s">
        <v>35</v>
      </c>
      <c r="O82" s="21">
        <v>46098</v>
      </c>
      <c r="P82" s="26">
        <v>2</v>
      </c>
      <c r="Q82" s="13">
        <v>2</v>
      </c>
      <c r="R82" s="13">
        <v>2</v>
      </c>
      <c r="S82" s="13">
        <v>6</v>
      </c>
      <c r="T82" s="27" t="s">
        <v>145</v>
      </c>
      <c r="U82" s="13" t="str">
        <f t="shared" si="2"/>
        <v>Retained</v>
      </c>
    </row>
    <row r="83" spans="1:21" x14ac:dyDescent="0.3">
      <c r="A83" s="9" t="s">
        <v>121</v>
      </c>
      <c r="B83" s="12">
        <v>41</v>
      </c>
      <c r="C83" s="13" t="s">
        <v>16</v>
      </c>
      <c r="D83" s="13" t="s">
        <v>25</v>
      </c>
      <c r="E83" s="12">
        <v>54554</v>
      </c>
      <c r="F83" s="13" t="s">
        <v>32</v>
      </c>
      <c r="G83" s="12">
        <v>2</v>
      </c>
      <c r="H83" s="12">
        <v>4328</v>
      </c>
      <c r="I83" s="12">
        <v>8656</v>
      </c>
      <c r="J83" s="13" t="s">
        <v>19</v>
      </c>
      <c r="K83" s="13" t="s">
        <v>34</v>
      </c>
      <c r="L83" s="13" t="s">
        <v>28</v>
      </c>
      <c r="M83" s="13" t="s">
        <v>22</v>
      </c>
      <c r="N83" s="13" t="s">
        <v>22</v>
      </c>
      <c r="O83" s="21">
        <v>46038</v>
      </c>
      <c r="P83" s="26">
        <v>1</v>
      </c>
      <c r="Q83" s="13">
        <v>1</v>
      </c>
      <c r="R83" s="13">
        <v>3</v>
      </c>
      <c r="S83" s="13">
        <v>5</v>
      </c>
      <c r="T83" s="27" t="s">
        <v>145</v>
      </c>
      <c r="U83" s="13" t="str">
        <f t="shared" si="2"/>
        <v>At Risk</v>
      </c>
    </row>
    <row r="84" spans="1:21" x14ac:dyDescent="0.3">
      <c r="A84" s="9" t="s">
        <v>122</v>
      </c>
      <c r="B84" s="12">
        <v>34</v>
      </c>
      <c r="C84" s="13" t="s">
        <v>16</v>
      </c>
      <c r="D84" s="13" t="s">
        <v>31</v>
      </c>
      <c r="E84" s="12">
        <v>85019</v>
      </c>
      <c r="F84" s="13" t="s">
        <v>42</v>
      </c>
      <c r="G84" s="12">
        <v>11</v>
      </c>
      <c r="H84" s="12">
        <v>4643</v>
      </c>
      <c r="I84" s="12">
        <v>51073</v>
      </c>
      <c r="J84" s="13" t="s">
        <v>27</v>
      </c>
      <c r="K84" s="13" t="s">
        <v>34</v>
      </c>
      <c r="L84" s="13" t="s">
        <v>21</v>
      </c>
      <c r="M84" s="13" t="s">
        <v>29</v>
      </c>
      <c r="N84" s="13" t="s">
        <v>35</v>
      </c>
      <c r="O84" s="21">
        <v>46102</v>
      </c>
      <c r="P84" s="26">
        <v>3</v>
      </c>
      <c r="Q84" s="13">
        <v>3</v>
      </c>
      <c r="R84" s="13">
        <v>2</v>
      </c>
      <c r="S84" s="13">
        <v>8</v>
      </c>
      <c r="T84" s="27" t="s">
        <v>147</v>
      </c>
      <c r="U84" s="13" t="str">
        <f t="shared" si="2"/>
        <v>Retained</v>
      </c>
    </row>
    <row r="85" spans="1:21" x14ac:dyDescent="0.3">
      <c r="A85" s="9" t="s">
        <v>123</v>
      </c>
      <c r="B85" s="12">
        <v>38</v>
      </c>
      <c r="C85" s="13" t="s">
        <v>16</v>
      </c>
      <c r="D85" s="13" t="s">
        <v>37</v>
      </c>
      <c r="E85" s="12">
        <v>47328</v>
      </c>
      <c r="F85" s="13" t="s">
        <v>32</v>
      </c>
      <c r="G85" s="12">
        <v>9</v>
      </c>
      <c r="H85" s="12">
        <v>4194</v>
      </c>
      <c r="I85" s="12">
        <v>37746</v>
      </c>
      <c r="J85" s="13" t="s">
        <v>27</v>
      </c>
      <c r="K85" s="13" t="s">
        <v>20</v>
      </c>
      <c r="L85" s="13" t="s">
        <v>21</v>
      </c>
      <c r="M85" s="13" t="s">
        <v>35</v>
      </c>
      <c r="N85" s="13" t="s">
        <v>22</v>
      </c>
      <c r="O85" s="21">
        <v>46024</v>
      </c>
      <c r="P85" s="26">
        <v>3</v>
      </c>
      <c r="Q85" s="13">
        <v>3</v>
      </c>
      <c r="R85" s="13">
        <v>1</v>
      </c>
      <c r="S85" s="13">
        <v>7</v>
      </c>
      <c r="T85" s="27" t="s">
        <v>145</v>
      </c>
      <c r="U85" s="13" t="str">
        <f t="shared" si="2"/>
        <v>At Risk</v>
      </c>
    </row>
    <row r="86" spans="1:21" x14ac:dyDescent="0.3">
      <c r="A86" s="9" t="s">
        <v>124</v>
      </c>
      <c r="B86" s="12">
        <v>44</v>
      </c>
      <c r="C86" s="13" t="s">
        <v>24</v>
      </c>
      <c r="D86" s="13" t="s">
        <v>25</v>
      </c>
      <c r="E86" s="12">
        <v>70223</v>
      </c>
      <c r="F86" s="13" t="s">
        <v>38</v>
      </c>
      <c r="G86" s="12">
        <v>10</v>
      </c>
      <c r="H86" s="12">
        <v>3845</v>
      </c>
      <c r="I86" s="12">
        <v>38450</v>
      </c>
      <c r="J86" s="13" t="s">
        <v>33</v>
      </c>
      <c r="K86" s="13" t="s">
        <v>34</v>
      </c>
      <c r="L86" s="13" t="s">
        <v>21</v>
      </c>
      <c r="M86" s="13" t="s">
        <v>35</v>
      </c>
      <c r="N86" s="13" t="s">
        <v>35</v>
      </c>
      <c r="O86" s="21">
        <v>46081</v>
      </c>
      <c r="P86" s="26">
        <v>3</v>
      </c>
      <c r="Q86" s="13">
        <v>3</v>
      </c>
      <c r="R86" s="13">
        <v>1</v>
      </c>
      <c r="S86" s="13">
        <v>7</v>
      </c>
      <c r="T86" s="27" t="s">
        <v>145</v>
      </c>
      <c r="U86" s="13" t="str">
        <f t="shared" si="2"/>
        <v>At Risk</v>
      </c>
    </row>
    <row r="87" spans="1:21" x14ac:dyDescent="0.3">
      <c r="A87" s="9" t="s">
        <v>125</v>
      </c>
      <c r="B87" s="12">
        <v>59</v>
      </c>
      <c r="C87" s="13" t="s">
        <v>24</v>
      </c>
      <c r="D87" s="13" t="s">
        <v>25</v>
      </c>
      <c r="E87" s="12">
        <v>33996</v>
      </c>
      <c r="F87" s="13" t="s">
        <v>18</v>
      </c>
      <c r="G87" s="12">
        <v>10</v>
      </c>
      <c r="H87" s="12">
        <v>4777</v>
      </c>
      <c r="I87" s="12">
        <v>47770</v>
      </c>
      <c r="J87" s="13" t="s">
        <v>39</v>
      </c>
      <c r="K87" s="13" t="s">
        <v>34</v>
      </c>
      <c r="L87" s="13" t="s">
        <v>28</v>
      </c>
      <c r="M87" s="13" t="s">
        <v>22</v>
      </c>
      <c r="N87" s="13" t="s">
        <v>35</v>
      </c>
      <c r="O87" s="21">
        <v>46096</v>
      </c>
      <c r="P87" s="26">
        <v>3</v>
      </c>
      <c r="Q87" s="13">
        <v>3</v>
      </c>
      <c r="R87" s="13">
        <v>3</v>
      </c>
      <c r="S87" s="13">
        <v>9</v>
      </c>
      <c r="T87" s="27" t="s">
        <v>147</v>
      </c>
      <c r="U87" s="13" t="str">
        <f t="shared" si="2"/>
        <v>Retained</v>
      </c>
    </row>
    <row r="88" spans="1:21" x14ac:dyDescent="0.3">
      <c r="A88" s="9" t="s">
        <v>126</v>
      </c>
      <c r="B88" s="12">
        <v>40</v>
      </c>
      <c r="C88" s="13" t="s">
        <v>16</v>
      </c>
      <c r="D88" s="13" t="s">
        <v>44</v>
      </c>
      <c r="E88" s="12">
        <v>56960</v>
      </c>
      <c r="F88" s="13" t="s">
        <v>26</v>
      </c>
      <c r="G88" s="12">
        <v>8</v>
      </c>
      <c r="H88" s="12">
        <v>1652</v>
      </c>
      <c r="I88" s="12">
        <v>13216</v>
      </c>
      <c r="J88" s="13" t="s">
        <v>27</v>
      </c>
      <c r="K88" s="13" t="s">
        <v>20</v>
      </c>
      <c r="L88" s="13" t="s">
        <v>21</v>
      </c>
      <c r="M88" s="13" t="s">
        <v>22</v>
      </c>
      <c r="N88" s="13" t="s">
        <v>29</v>
      </c>
      <c r="O88" s="21">
        <v>46066</v>
      </c>
      <c r="P88" s="26">
        <v>2</v>
      </c>
      <c r="Q88" s="13">
        <v>3</v>
      </c>
      <c r="R88" s="13">
        <v>3</v>
      </c>
      <c r="S88" s="13">
        <v>8</v>
      </c>
      <c r="T88" s="27" t="s">
        <v>147</v>
      </c>
      <c r="U88" s="13" t="str">
        <f t="shared" si="2"/>
        <v>At Risk</v>
      </c>
    </row>
    <row r="89" spans="1:21" x14ac:dyDescent="0.3">
      <c r="A89" s="9" t="s">
        <v>127</v>
      </c>
      <c r="B89" s="12">
        <v>57</v>
      </c>
      <c r="C89" s="13" t="s">
        <v>24</v>
      </c>
      <c r="D89" s="13" t="s">
        <v>17</v>
      </c>
      <c r="E89" s="12">
        <v>33387</v>
      </c>
      <c r="F89" s="13" t="s">
        <v>18</v>
      </c>
      <c r="G89" s="12">
        <v>4</v>
      </c>
      <c r="H89" s="12">
        <v>3492</v>
      </c>
      <c r="I89" s="12">
        <v>13968</v>
      </c>
      <c r="J89" s="13" t="s">
        <v>33</v>
      </c>
      <c r="K89" s="13" t="s">
        <v>34</v>
      </c>
      <c r="L89" s="13" t="s">
        <v>28</v>
      </c>
      <c r="M89" s="13" t="s">
        <v>29</v>
      </c>
      <c r="N89" s="13" t="s">
        <v>35</v>
      </c>
      <c r="O89" s="21">
        <v>46055</v>
      </c>
      <c r="P89" s="26">
        <v>2</v>
      </c>
      <c r="Q89" s="13">
        <v>2</v>
      </c>
      <c r="R89" s="13">
        <v>2</v>
      </c>
      <c r="S89" s="13">
        <v>6</v>
      </c>
      <c r="T89" s="27" t="s">
        <v>145</v>
      </c>
      <c r="U89" s="13" t="str">
        <f t="shared" si="2"/>
        <v>At Risk</v>
      </c>
    </row>
    <row r="90" spans="1:21" x14ac:dyDescent="0.3">
      <c r="A90" s="9" t="s">
        <v>128</v>
      </c>
      <c r="B90" s="12">
        <v>25</v>
      </c>
      <c r="C90" s="13" t="s">
        <v>24</v>
      </c>
      <c r="D90" s="13" t="s">
        <v>37</v>
      </c>
      <c r="E90" s="12">
        <v>62134</v>
      </c>
      <c r="F90" s="13" t="s">
        <v>38</v>
      </c>
      <c r="G90" s="12">
        <v>4</v>
      </c>
      <c r="H90" s="12">
        <v>4278</v>
      </c>
      <c r="I90" s="12">
        <v>17112</v>
      </c>
      <c r="J90" s="13" t="s">
        <v>33</v>
      </c>
      <c r="K90" s="13" t="s">
        <v>20</v>
      </c>
      <c r="L90" s="13" t="s">
        <v>28</v>
      </c>
      <c r="M90" s="13" t="s">
        <v>35</v>
      </c>
      <c r="N90" s="13" t="s">
        <v>29</v>
      </c>
      <c r="O90" s="21">
        <v>46035</v>
      </c>
      <c r="P90" s="26">
        <v>2</v>
      </c>
      <c r="Q90" s="13">
        <v>2</v>
      </c>
      <c r="R90" s="13">
        <v>1</v>
      </c>
      <c r="S90" s="13">
        <v>5</v>
      </c>
      <c r="T90" s="27" t="s">
        <v>145</v>
      </c>
      <c r="U90" s="13" t="str">
        <f t="shared" si="2"/>
        <v>At Risk</v>
      </c>
    </row>
    <row r="91" spans="1:21" x14ac:dyDescent="0.3">
      <c r="A91" s="9" t="s">
        <v>129</v>
      </c>
      <c r="B91" s="12">
        <v>60</v>
      </c>
      <c r="C91" s="13" t="s">
        <v>24</v>
      </c>
      <c r="D91" s="13" t="s">
        <v>44</v>
      </c>
      <c r="E91" s="12">
        <v>35898</v>
      </c>
      <c r="F91" s="13" t="s">
        <v>32</v>
      </c>
      <c r="G91" s="12">
        <v>1</v>
      </c>
      <c r="H91" s="12">
        <v>2475</v>
      </c>
      <c r="I91" s="12">
        <v>2475</v>
      </c>
      <c r="J91" s="13" t="s">
        <v>33</v>
      </c>
      <c r="K91" s="13" t="s">
        <v>34</v>
      </c>
      <c r="L91" s="13" t="s">
        <v>21</v>
      </c>
      <c r="M91" s="13" t="s">
        <v>22</v>
      </c>
      <c r="N91" s="13" t="s">
        <v>22</v>
      </c>
      <c r="O91" s="21">
        <v>46097</v>
      </c>
      <c r="P91" s="26">
        <v>1</v>
      </c>
      <c r="Q91" s="13">
        <v>1</v>
      </c>
      <c r="R91" s="13">
        <v>3</v>
      </c>
      <c r="S91" s="13">
        <v>5</v>
      </c>
      <c r="T91" s="27" t="s">
        <v>145</v>
      </c>
      <c r="U91" s="13" t="str">
        <f t="shared" si="2"/>
        <v>Retained</v>
      </c>
    </row>
    <row r="92" spans="1:21" x14ac:dyDescent="0.3">
      <c r="A92" s="9" t="s">
        <v>130</v>
      </c>
      <c r="B92" s="12">
        <v>23</v>
      </c>
      <c r="C92" s="13" t="s">
        <v>16</v>
      </c>
      <c r="D92" s="13" t="s">
        <v>37</v>
      </c>
      <c r="E92" s="12">
        <v>63182</v>
      </c>
      <c r="F92" s="13" t="s">
        <v>38</v>
      </c>
      <c r="G92" s="12">
        <v>1</v>
      </c>
      <c r="H92" s="12">
        <v>3429</v>
      </c>
      <c r="I92" s="12">
        <v>3429</v>
      </c>
      <c r="J92" s="13" t="s">
        <v>19</v>
      </c>
      <c r="K92" s="13" t="s">
        <v>34</v>
      </c>
      <c r="L92" s="13" t="s">
        <v>21</v>
      </c>
      <c r="M92" s="13" t="s">
        <v>22</v>
      </c>
      <c r="N92" s="13" t="s">
        <v>22</v>
      </c>
      <c r="O92" s="21">
        <v>46099</v>
      </c>
      <c r="P92" s="26">
        <v>1</v>
      </c>
      <c r="Q92" s="13">
        <v>1</v>
      </c>
      <c r="R92" s="13">
        <v>3</v>
      </c>
      <c r="S92" s="13">
        <v>5</v>
      </c>
      <c r="T92" s="27" t="s">
        <v>145</v>
      </c>
      <c r="U92" s="13" t="str">
        <f t="shared" si="2"/>
        <v>Retained</v>
      </c>
    </row>
    <row r="93" spans="1:21" x14ac:dyDescent="0.3">
      <c r="A93" s="9" t="s">
        <v>131</v>
      </c>
      <c r="B93" s="12">
        <v>33</v>
      </c>
      <c r="C93" s="13" t="s">
        <v>16</v>
      </c>
      <c r="D93" s="13" t="s">
        <v>25</v>
      </c>
      <c r="E93" s="12">
        <v>46813</v>
      </c>
      <c r="F93" s="13" t="s">
        <v>18</v>
      </c>
      <c r="G93" s="12">
        <v>6</v>
      </c>
      <c r="H93" s="12">
        <v>3547</v>
      </c>
      <c r="I93" s="12">
        <v>21282</v>
      </c>
      <c r="J93" s="13" t="s">
        <v>27</v>
      </c>
      <c r="K93" s="13" t="s">
        <v>20</v>
      </c>
      <c r="L93" s="13" t="s">
        <v>28</v>
      </c>
      <c r="M93" s="13" t="s">
        <v>35</v>
      </c>
      <c r="N93" s="13" t="s">
        <v>35</v>
      </c>
      <c r="O93" s="21">
        <v>46063</v>
      </c>
      <c r="P93" s="26">
        <v>2</v>
      </c>
      <c r="Q93" s="13">
        <v>2</v>
      </c>
      <c r="R93" s="13">
        <v>1</v>
      </c>
      <c r="S93" s="13">
        <v>5</v>
      </c>
      <c r="T93" s="27" t="s">
        <v>145</v>
      </c>
      <c r="U93" s="13" t="str">
        <f t="shared" si="2"/>
        <v>At Risk</v>
      </c>
    </row>
    <row r="94" spans="1:21" x14ac:dyDescent="0.3">
      <c r="A94" s="9" t="s">
        <v>132</v>
      </c>
      <c r="B94" s="12">
        <v>41</v>
      </c>
      <c r="C94" s="13" t="s">
        <v>16</v>
      </c>
      <c r="D94" s="13" t="s">
        <v>44</v>
      </c>
      <c r="E94" s="12">
        <v>80551</v>
      </c>
      <c r="F94" s="13" t="s">
        <v>32</v>
      </c>
      <c r="G94" s="12">
        <v>12</v>
      </c>
      <c r="H94" s="12">
        <v>3167</v>
      </c>
      <c r="I94" s="12">
        <v>38004</v>
      </c>
      <c r="J94" s="13" t="s">
        <v>33</v>
      </c>
      <c r="K94" s="13" t="s">
        <v>34</v>
      </c>
      <c r="L94" s="13" t="s">
        <v>28</v>
      </c>
      <c r="M94" s="13" t="s">
        <v>29</v>
      </c>
      <c r="N94" s="13" t="s">
        <v>29</v>
      </c>
      <c r="O94" s="21">
        <v>46077</v>
      </c>
      <c r="P94" s="26">
        <v>3</v>
      </c>
      <c r="Q94" s="13">
        <v>3</v>
      </c>
      <c r="R94" s="13">
        <v>2</v>
      </c>
      <c r="S94" s="13">
        <v>8</v>
      </c>
      <c r="T94" s="27" t="s">
        <v>147</v>
      </c>
      <c r="U94" s="13" t="str">
        <f t="shared" si="2"/>
        <v>At Risk</v>
      </c>
    </row>
    <row r="95" spans="1:21" x14ac:dyDescent="0.3">
      <c r="A95" s="9" t="s">
        <v>133</v>
      </c>
      <c r="B95" s="12">
        <v>35</v>
      </c>
      <c r="C95" s="13" t="s">
        <v>16</v>
      </c>
      <c r="D95" s="13" t="s">
        <v>31</v>
      </c>
      <c r="E95" s="12">
        <v>35300</v>
      </c>
      <c r="F95" s="13" t="s">
        <v>26</v>
      </c>
      <c r="G95" s="12">
        <v>3</v>
      </c>
      <c r="H95" s="12">
        <v>3583</v>
      </c>
      <c r="I95" s="12">
        <v>10749</v>
      </c>
      <c r="J95" s="13" t="s">
        <v>39</v>
      </c>
      <c r="K95" s="13" t="s">
        <v>20</v>
      </c>
      <c r="L95" s="13" t="s">
        <v>28</v>
      </c>
      <c r="M95" s="13" t="s">
        <v>22</v>
      </c>
      <c r="N95" s="13" t="s">
        <v>35</v>
      </c>
      <c r="O95" s="21">
        <v>46104</v>
      </c>
      <c r="P95" s="26">
        <v>2</v>
      </c>
      <c r="Q95" s="13">
        <v>1</v>
      </c>
      <c r="R95" s="13">
        <v>3</v>
      </c>
      <c r="S95" s="13">
        <v>6</v>
      </c>
      <c r="T95" s="27" t="s">
        <v>145</v>
      </c>
      <c r="U95" s="13" t="str">
        <f t="shared" si="2"/>
        <v>Retained</v>
      </c>
    </row>
    <row r="96" spans="1:21" x14ac:dyDescent="0.3">
      <c r="A96" s="9" t="s">
        <v>134</v>
      </c>
      <c r="B96" s="12">
        <v>26</v>
      </c>
      <c r="C96" s="13" t="s">
        <v>16</v>
      </c>
      <c r="D96" s="13" t="s">
        <v>41</v>
      </c>
      <c r="E96" s="12">
        <v>34074</v>
      </c>
      <c r="F96" s="13" t="s">
        <v>18</v>
      </c>
      <c r="G96" s="12">
        <v>2</v>
      </c>
      <c r="H96" s="12">
        <v>2791</v>
      </c>
      <c r="I96" s="12">
        <v>5582</v>
      </c>
      <c r="J96" s="13" t="s">
        <v>39</v>
      </c>
      <c r="K96" s="13" t="s">
        <v>20</v>
      </c>
      <c r="L96" s="13" t="s">
        <v>28</v>
      </c>
      <c r="M96" s="13" t="s">
        <v>29</v>
      </c>
      <c r="N96" s="13" t="s">
        <v>35</v>
      </c>
      <c r="O96" s="21">
        <v>46030</v>
      </c>
      <c r="P96" s="26">
        <v>1</v>
      </c>
      <c r="Q96" s="13">
        <v>1</v>
      </c>
      <c r="R96" s="13">
        <v>2</v>
      </c>
      <c r="S96" s="13">
        <v>4</v>
      </c>
      <c r="T96" s="27" t="s">
        <v>146</v>
      </c>
      <c r="U96" s="13" t="str">
        <f t="shared" si="2"/>
        <v>At Risk</v>
      </c>
    </row>
    <row r="97" spans="1:21" x14ac:dyDescent="0.3">
      <c r="A97" s="9" t="s">
        <v>135</v>
      </c>
      <c r="B97" s="12">
        <v>45</v>
      </c>
      <c r="C97" s="13" t="s">
        <v>16</v>
      </c>
      <c r="D97" s="13" t="s">
        <v>41</v>
      </c>
      <c r="E97" s="12">
        <v>43054</v>
      </c>
      <c r="F97" s="13" t="s">
        <v>18</v>
      </c>
      <c r="G97" s="12">
        <v>12</v>
      </c>
      <c r="H97" s="12">
        <v>4248</v>
      </c>
      <c r="I97" s="12">
        <v>50976</v>
      </c>
      <c r="J97" s="13" t="s">
        <v>19</v>
      </c>
      <c r="K97" s="13" t="s">
        <v>34</v>
      </c>
      <c r="L97" s="13" t="s">
        <v>28</v>
      </c>
      <c r="M97" s="13" t="s">
        <v>22</v>
      </c>
      <c r="N97" s="13" t="s">
        <v>29</v>
      </c>
      <c r="O97" s="21">
        <v>46025</v>
      </c>
      <c r="P97" s="26">
        <v>3</v>
      </c>
      <c r="Q97" s="13">
        <v>3</v>
      </c>
      <c r="R97" s="13">
        <v>3</v>
      </c>
      <c r="S97" s="13">
        <v>9</v>
      </c>
      <c r="T97" s="27" t="s">
        <v>147</v>
      </c>
      <c r="U97" s="13" t="str">
        <f t="shared" si="2"/>
        <v>At Risk</v>
      </c>
    </row>
    <row r="98" spans="1:21" x14ac:dyDescent="0.3">
      <c r="A98" s="9" t="s">
        <v>136</v>
      </c>
      <c r="B98" s="12">
        <v>56</v>
      </c>
      <c r="C98" s="13" t="s">
        <v>16</v>
      </c>
      <c r="D98" s="13" t="s">
        <v>17</v>
      </c>
      <c r="E98" s="12">
        <v>59182</v>
      </c>
      <c r="F98" s="13" t="s">
        <v>42</v>
      </c>
      <c r="G98" s="12">
        <v>8</v>
      </c>
      <c r="H98" s="12">
        <v>1922</v>
      </c>
      <c r="I98" s="12">
        <v>15376</v>
      </c>
      <c r="J98" s="13" t="s">
        <v>33</v>
      </c>
      <c r="K98" s="13" t="s">
        <v>34</v>
      </c>
      <c r="L98" s="13" t="s">
        <v>28</v>
      </c>
      <c r="M98" s="13" t="s">
        <v>29</v>
      </c>
      <c r="N98" s="13" t="s">
        <v>29</v>
      </c>
      <c r="O98" s="21">
        <v>46110</v>
      </c>
      <c r="P98" s="26">
        <v>2</v>
      </c>
      <c r="Q98" s="13">
        <v>3</v>
      </c>
      <c r="R98" s="13">
        <v>2</v>
      </c>
      <c r="S98" s="13">
        <v>7</v>
      </c>
      <c r="T98" s="27" t="s">
        <v>145</v>
      </c>
      <c r="U98" s="13" t="str">
        <f t="shared" si="2"/>
        <v>Retained</v>
      </c>
    </row>
    <row r="99" spans="1:21" x14ac:dyDescent="0.3">
      <c r="A99" s="9" t="s">
        <v>137</v>
      </c>
      <c r="B99" s="12">
        <v>37</v>
      </c>
      <c r="C99" s="13" t="s">
        <v>24</v>
      </c>
      <c r="D99" s="13" t="s">
        <v>17</v>
      </c>
      <c r="E99" s="12">
        <v>88367</v>
      </c>
      <c r="F99" s="13" t="s">
        <v>18</v>
      </c>
      <c r="G99" s="12">
        <v>2</v>
      </c>
      <c r="H99" s="12">
        <v>1980</v>
      </c>
      <c r="I99" s="12">
        <v>3960</v>
      </c>
      <c r="J99" s="13" t="s">
        <v>27</v>
      </c>
      <c r="K99" s="13" t="s">
        <v>34</v>
      </c>
      <c r="L99" s="13" t="s">
        <v>28</v>
      </c>
      <c r="M99" s="13" t="s">
        <v>29</v>
      </c>
      <c r="N99" s="13" t="s">
        <v>35</v>
      </c>
      <c r="O99" s="21">
        <v>46052</v>
      </c>
      <c r="P99" s="26">
        <v>1</v>
      </c>
      <c r="Q99" s="13">
        <v>1</v>
      </c>
      <c r="R99" s="13">
        <v>2</v>
      </c>
      <c r="S99" s="13">
        <v>4</v>
      </c>
      <c r="T99" s="27" t="s">
        <v>146</v>
      </c>
      <c r="U99" s="13" t="str">
        <f t="shared" si="2"/>
        <v>At Risk</v>
      </c>
    </row>
    <row r="100" spans="1:21" x14ac:dyDescent="0.3">
      <c r="A100" s="9" t="s">
        <v>138</v>
      </c>
      <c r="B100" s="12">
        <v>26</v>
      </c>
      <c r="C100" s="13" t="s">
        <v>16</v>
      </c>
      <c r="D100" s="13" t="s">
        <v>31</v>
      </c>
      <c r="E100" s="12">
        <v>27370</v>
      </c>
      <c r="F100" s="13" t="s">
        <v>38</v>
      </c>
      <c r="G100" s="12">
        <v>4</v>
      </c>
      <c r="H100" s="12">
        <v>4462</v>
      </c>
      <c r="I100" s="12">
        <v>17848</v>
      </c>
      <c r="J100" s="13" t="s">
        <v>33</v>
      </c>
      <c r="K100" s="13" t="s">
        <v>20</v>
      </c>
      <c r="L100" s="13" t="s">
        <v>28</v>
      </c>
      <c r="M100" s="13" t="s">
        <v>35</v>
      </c>
      <c r="N100" s="13" t="s">
        <v>29</v>
      </c>
      <c r="O100" s="21">
        <v>46112</v>
      </c>
      <c r="P100" s="26">
        <v>2</v>
      </c>
      <c r="Q100" s="13">
        <v>2</v>
      </c>
      <c r="R100" s="13">
        <v>1</v>
      </c>
      <c r="S100" s="13">
        <v>5</v>
      </c>
      <c r="T100" s="27" t="s">
        <v>145</v>
      </c>
      <c r="U100" s="13" t="str">
        <f t="shared" si="2"/>
        <v>Retained</v>
      </c>
    </row>
    <row r="101" spans="1:21" x14ac:dyDescent="0.3">
      <c r="A101" s="14" t="s">
        <v>139</v>
      </c>
      <c r="B101" s="15">
        <v>22</v>
      </c>
      <c r="C101" s="16" t="s">
        <v>16</v>
      </c>
      <c r="D101" s="16" t="s">
        <v>25</v>
      </c>
      <c r="E101" s="15">
        <v>52941</v>
      </c>
      <c r="F101" s="16" t="s">
        <v>18</v>
      </c>
      <c r="G101" s="15">
        <v>3</v>
      </c>
      <c r="H101" s="15">
        <v>4684</v>
      </c>
      <c r="I101" s="15">
        <v>14052</v>
      </c>
      <c r="J101" s="16" t="s">
        <v>39</v>
      </c>
      <c r="K101" s="16" t="s">
        <v>20</v>
      </c>
      <c r="L101" s="16" t="s">
        <v>28</v>
      </c>
      <c r="M101" s="16" t="s">
        <v>22</v>
      </c>
      <c r="N101" s="16" t="s">
        <v>35</v>
      </c>
      <c r="O101" s="22">
        <v>46040</v>
      </c>
      <c r="P101" s="18">
        <v>2</v>
      </c>
      <c r="Q101" s="16">
        <v>1</v>
      </c>
      <c r="R101" s="16">
        <v>3</v>
      </c>
      <c r="S101" s="16">
        <v>6</v>
      </c>
      <c r="T101" s="17" t="s">
        <v>145</v>
      </c>
      <c r="U101" s="16" t="str">
        <f t="shared" si="2"/>
        <v>At Risk</v>
      </c>
    </row>
  </sheetData>
  <conditionalFormatting sqref="T2:T101">
    <cfRule type="containsText" dxfId="18" priority="1" operator="containsText" text="Low Value">
      <formula>NOT(ISERROR(SEARCH("Low Value",T2)))</formula>
    </cfRule>
    <cfRule type="containsText" dxfId="17" priority="2" operator="containsText" text="Medium Value">
      <formula>NOT(ISERROR(SEARCH("Medium Value",T2)))</formula>
    </cfRule>
    <cfRule type="containsText" dxfId="16" priority="3" operator="containsText" text="High Value">
      <formula>NOT(ISERROR(SEARCH("High Value",T2)))</formula>
    </cfRule>
  </conditionalFormatting>
  <dataValidations count="2">
    <dataValidation type="list" allowBlank="1" showInputMessage="1" showErrorMessage="1" sqref="K2:K101" xr:uid="{E0212794-08A2-4049-AD3F-AA9BCAB67AF4}">
      <formula1>"Online,Offline"</formula1>
    </dataValidation>
    <dataValidation type="list" allowBlank="1" showInputMessage="1" showErrorMessage="1" errorTitle="Invalid Input" error="Please select Male or Female from the dropdown only." sqref="C2:C101" xr:uid="{F40807BE-20A9-4537-A9DD-11CE06714DDE}">
      <formula1>"Male,Female"</formula1>
    </dataValidation>
  </dataValidation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5B55A-ACCB-40DB-A87E-A4A8E7A43C30}">
  <dimension ref="A1:B11"/>
  <sheetViews>
    <sheetView workbookViewId="0">
      <selection sqref="A1:B11"/>
    </sheetView>
  </sheetViews>
  <sheetFormatPr defaultRowHeight="14.4" x14ac:dyDescent="0.3"/>
  <cols>
    <col min="1" max="1" width="25.6640625" bestFit="1" customWidth="1"/>
    <col min="2" max="2" width="18.6640625" bestFit="1" customWidth="1"/>
  </cols>
  <sheetData>
    <row r="1" spans="1:2" ht="17.399999999999999" x14ac:dyDescent="0.3">
      <c r="A1" s="28" t="s">
        <v>149</v>
      </c>
      <c r="B1" s="29" t="s">
        <v>148</v>
      </c>
    </row>
    <row r="2" spans="1:2" ht="19.8" x14ac:dyDescent="0.3">
      <c r="A2" s="30" t="s">
        <v>150</v>
      </c>
      <c r="B2" s="31">
        <f>COUNTA(Table13[Customer ID])</f>
        <v>100</v>
      </c>
    </row>
    <row r="3" spans="1:2" ht="19.8" x14ac:dyDescent="0.3">
      <c r="A3" s="30" t="s">
        <v>151</v>
      </c>
      <c r="B3" s="43">
        <f>SUM(Table13[Total Spending])</f>
        <v>1909027</v>
      </c>
    </row>
    <row r="4" spans="1:2" ht="19.8" x14ac:dyDescent="0.4">
      <c r="A4" s="32" t="s">
        <v>152</v>
      </c>
      <c r="B4" s="33">
        <f>AVERAGE(Table13[Avg Order Value])</f>
        <v>2917.41</v>
      </c>
    </row>
    <row r="5" spans="1:2" ht="19.8" x14ac:dyDescent="0.4">
      <c r="A5" s="32" t="s">
        <v>153</v>
      </c>
      <c r="B5" s="34">
        <f>COUNTIFS(Table3[Customer Segment],"High Value")</f>
        <v>26</v>
      </c>
    </row>
    <row r="6" spans="1:2" ht="19.8" x14ac:dyDescent="0.4">
      <c r="A6" s="30" t="s">
        <v>154</v>
      </c>
      <c r="B6" s="35">
        <f>COUNTIFS(Table13[Type],"Returning")/B2</f>
        <v>0.66</v>
      </c>
    </row>
    <row r="7" spans="1:2" ht="19.8" x14ac:dyDescent="0.4">
      <c r="A7" s="30" t="s">
        <v>155</v>
      </c>
      <c r="B7" s="34">
        <f>SUMIFS(Table13[Total Spending],Table3[Customer Segment],"High Value")</f>
        <v>880183</v>
      </c>
    </row>
    <row r="8" spans="1:2" ht="19.8" x14ac:dyDescent="0.4">
      <c r="A8" s="32" t="s">
        <v>156</v>
      </c>
      <c r="B8" s="34">
        <f>SUMIFS(Table13[Total Spending],Table3[Customer Segment],"Medium Value")</f>
        <v>948536</v>
      </c>
    </row>
    <row r="9" spans="1:2" ht="19.8" x14ac:dyDescent="0.4">
      <c r="A9" s="36" t="s">
        <v>157</v>
      </c>
      <c r="B9" s="37">
        <f>SUMIFS(Table13[Total Spending],Table3[Customer Segment],"Low Value")</f>
        <v>80308</v>
      </c>
    </row>
    <row r="10" spans="1:2" ht="19.8" x14ac:dyDescent="0.4">
      <c r="A10" s="36" t="s">
        <v>159</v>
      </c>
      <c r="B10" s="37">
        <f>COUNTIFS(Table3[Retention Status],"Retained")</f>
        <v>43</v>
      </c>
    </row>
    <row r="11" spans="1:2" ht="19.8" x14ac:dyDescent="0.4">
      <c r="A11" s="36" t="s">
        <v>160</v>
      </c>
      <c r="B11" s="38">
        <f>B10/B2</f>
        <v>0.43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5DE2-0568-427F-A149-FEB55F034B5D}">
  <dimension ref="A1:O52"/>
  <sheetViews>
    <sheetView topLeftCell="A31" zoomScale="86" zoomScaleNormal="100" workbookViewId="0">
      <selection activeCell="J28" sqref="J28"/>
    </sheetView>
  </sheetViews>
  <sheetFormatPr defaultRowHeight="14.4" x14ac:dyDescent="0.3"/>
  <cols>
    <col min="1" max="1" width="12.88671875" bestFit="1" customWidth="1"/>
    <col min="2" max="2" width="19.109375" bestFit="1" customWidth="1"/>
    <col min="3" max="3" width="8.44140625" bestFit="1" customWidth="1"/>
    <col min="4" max="4" width="10.5546875" bestFit="1" customWidth="1"/>
    <col min="5" max="5" width="15.33203125" bestFit="1" customWidth="1"/>
    <col min="6" max="6" width="7.33203125" bestFit="1" customWidth="1"/>
    <col min="7" max="7" width="12.88671875" bestFit="1" customWidth="1"/>
    <col min="8" max="8" width="19.77734375" bestFit="1" customWidth="1"/>
    <col min="9" max="9" width="19.44140625" bestFit="1" customWidth="1"/>
    <col min="10" max="10" width="12.88671875" bestFit="1" customWidth="1"/>
    <col min="14" max="14" width="14.77734375" bestFit="1" customWidth="1"/>
    <col min="15" max="15" width="14.77734375" customWidth="1"/>
  </cols>
  <sheetData>
    <row r="1" spans="1:15" x14ac:dyDescent="0.3">
      <c r="A1" s="40" t="s">
        <v>162</v>
      </c>
      <c r="B1" t="s">
        <v>161</v>
      </c>
      <c r="G1" s="40" t="s">
        <v>162</v>
      </c>
      <c r="H1" t="s">
        <v>164</v>
      </c>
    </row>
    <row r="2" spans="1:15" x14ac:dyDescent="0.3">
      <c r="A2" s="41" t="s">
        <v>147</v>
      </c>
      <c r="B2" s="39">
        <v>26</v>
      </c>
      <c r="G2" s="41" t="s">
        <v>168</v>
      </c>
      <c r="H2" s="5">
        <v>394327</v>
      </c>
    </row>
    <row r="3" spans="1:15" x14ac:dyDescent="0.3">
      <c r="A3" s="41" t="s">
        <v>146</v>
      </c>
      <c r="B3" s="39">
        <v>13</v>
      </c>
      <c r="G3" s="41" t="s">
        <v>169</v>
      </c>
      <c r="H3" s="5">
        <v>606491</v>
      </c>
    </row>
    <row r="4" spans="1:15" x14ac:dyDescent="0.3">
      <c r="A4" s="41" t="s">
        <v>145</v>
      </c>
      <c r="B4" s="39">
        <v>61</v>
      </c>
      <c r="G4" s="41" t="s">
        <v>170</v>
      </c>
      <c r="H4" s="5">
        <v>908209</v>
      </c>
    </row>
    <row r="5" spans="1:15" x14ac:dyDescent="0.3">
      <c r="A5" s="41" t="s">
        <v>163</v>
      </c>
      <c r="B5" s="39">
        <v>100</v>
      </c>
      <c r="G5" s="41" t="s">
        <v>163</v>
      </c>
      <c r="H5" s="5">
        <v>1909027</v>
      </c>
    </row>
    <row r="8" spans="1:15" x14ac:dyDescent="0.3">
      <c r="A8" s="40" t="s">
        <v>162</v>
      </c>
      <c r="B8" t="s">
        <v>164</v>
      </c>
    </row>
    <row r="9" spans="1:15" x14ac:dyDescent="0.3">
      <c r="A9" s="41" t="s">
        <v>145</v>
      </c>
      <c r="B9" s="42">
        <v>948536</v>
      </c>
    </row>
    <row r="10" spans="1:15" x14ac:dyDescent="0.3">
      <c r="A10" s="41" t="s">
        <v>147</v>
      </c>
      <c r="B10" s="42">
        <v>880183</v>
      </c>
    </row>
    <row r="11" spans="1:15" x14ac:dyDescent="0.3">
      <c r="A11" s="41" t="s">
        <v>146</v>
      </c>
      <c r="B11" s="42">
        <v>80308</v>
      </c>
    </row>
    <row r="12" spans="1:15" x14ac:dyDescent="0.3">
      <c r="A12" s="41" t="s">
        <v>163</v>
      </c>
      <c r="B12" s="42">
        <v>1909027</v>
      </c>
    </row>
    <row r="14" spans="1:15" x14ac:dyDescent="0.3">
      <c r="A14" s="40" t="s">
        <v>162</v>
      </c>
      <c r="B14" t="s">
        <v>161</v>
      </c>
    </row>
    <row r="15" spans="1:15" x14ac:dyDescent="0.3">
      <c r="A15" s="41" t="s">
        <v>165</v>
      </c>
      <c r="B15" s="39">
        <v>57</v>
      </c>
      <c r="I15" s="47"/>
      <c r="J15" s="47"/>
      <c r="N15" s="1"/>
      <c r="O15" s="1"/>
    </row>
    <row r="16" spans="1:15" x14ac:dyDescent="0.3">
      <c r="A16" s="41" t="s">
        <v>166</v>
      </c>
      <c r="B16" s="39">
        <v>43</v>
      </c>
      <c r="I16" s="47"/>
      <c r="J16" s="47"/>
      <c r="N16" s="2"/>
      <c r="O16" s="2"/>
    </row>
    <row r="17" spans="1:15" ht="18" x14ac:dyDescent="0.35">
      <c r="A17" s="41" t="s">
        <v>163</v>
      </c>
      <c r="B17" s="39">
        <v>100</v>
      </c>
      <c r="I17" s="51"/>
      <c r="J17" s="51"/>
      <c r="N17" s="2"/>
      <c r="O17" s="2"/>
    </row>
    <row r="18" spans="1:15" ht="18" x14ac:dyDescent="0.35">
      <c r="I18" s="52"/>
      <c r="J18" s="52"/>
      <c r="N18" s="2"/>
      <c r="O18" s="2"/>
    </row>
    <row r="19" spans="1:15" ht="18" x14ac:dyDescent="0.35">
      <c r="I19" s="52"/>
      <c r="J19" s="52"/>
      <c r="N19" s="2"/>
      <c r="O19" s="2"/>
    </row>
    <row r="20" spans="1:15" ht="18" x14ac:dyDescent="0.35">
      <c r="A20" s="40" t="s">
        <v>161</v>
      </c>
      <c r="B20" s="40" t="s">
        <v>167</v>
      </c>
      <c r="I20" s="52"/>
      <c r="J20" s="52"/>
      <c r="N20" s="2"/>
      <c r="O20" s="2"/>
    </row>
    <row r="21" spans="1:15" ht="18" x14ac:dyDescent="0.35">
      <c r="A21" s="40" t="s">
        <v>162</v>
      </c>
      <c r="B21" t="s">
        <v>165</v>
      </c>
      <c r="C21" t="s">
        <v>166</v>
      </c>
      <c r="D21" t="s">
        <v>163</v>
      </c>
      <c r="I21" s="52"/>
      <c r="J21" s="52"/>
      <c r="N21" s="2"/>
      <c r="O21" s="2"/>
    </row>
    <row r="22" spans="1:15" ht="18" x14ac:dyDescent="0.35">
      <c r="A22" s="41" t="s">
        <v>147</v>
      </c>
      <c r="B22" s="39">
        <v>13</v>
      </c>
      <c r="C22" s="39">
        <v>13</v>
      </c>
      <c r="D22" s="39">
        <v>26</v>
      </c>
      <c r="I22" s="52"/>
      <c r="J22" s="52"/>
    </row>
    <row r="23" spans="1:15" ht="18" x14ac:dyDescent="0.35">
      <c r="A23" s="41" t="s">
        <v>146</v>
      </c>
      <c r="B23" s="39">
        <v>9</v>
      </c>
      <c r="C23" s="39">
        <v>4</v>
      </c>
      <c r="D23" s="39">
        <v>13</v>
      </c>
      <c r="I23" s="52"/>
      <c r="J23" s="52"/>
    </row>
    <row r="24" spans="1:15" ht="18" x14ac:dyDescent="0.35">
      <c r="A24" s="41" t="s">
        <v>145</v>
      </c>
      <c r="B24" s="39">
        <v>35</v>
      </c>
      <c r="C24" s="39">
        <v>26</v>
      </c>
      <c r="D24" s="39">
        <v>61</v>
      </c>
      <c r="I24" s="52"/>
      <c r="J24" s="52"/>
    </row>
    <row r="25" spans="1:15" x14ac:dyDescent="0.3">
      <c r="A25" s="41" t="s">
        <v>163</v>
      </c>
      <c r="B25" s="39">
        <v>57</v>
      </c>
      <c r="C25" s="39">
        <v>43</v>
      </c>
      <c r="D25" s="39">
        <v>100</v>
      </c>
      <c r="I25" s="47"/>
      <c r="J25" s="47"/>
    </row>
    <row r="26" spans="1:15" x14ac:dyDescent="0.3">
      <c r="I26" s="47"/>
      <c r="J26" s="47"/>
    </row>
    <row r="27" spans="1:15" x14ac:dyDescent="0.3">
      <c r="A27" s="40" t="s">
        <v>162</v>
      </c>
      <c r="B27" t="s">
        <v>161</v>
      </c>
    </row>
    <row r="28" spans="1:15" ht="18" x14ac:dyDescent="0.3">
      <c r="A28" s="41" t="s">
        <v>25</v>
      </c>
      <c r="B28" s="39">
        <v>16</v>
      </c>
      <c r="E28" s="46"/>
      <c r="F28" s="46"/>
      <c r="G28" s="47"/>
    </row>
    <row r="29" spans="1:15" ht="18" x14ac:dyDescent="0.3">
      <c r="A29" s="41" t="s">
        <v>17</v>
      </c>
      <c r="B29" s="39">
        <v>16</v>
      </c>
      <c r="E29" s="48"/>
      <c r="F29" s="49"/>
      <c r="G29" s="47"/>
    </row>
    <row r="30" spans="1:15" ht="18" x14ac:dyDescent="0.3">
      <c r="A30" s="41" t="s">
        <v>37</v>
      </c>
      <c r="B30" s="39">
        <v>21</v>
      </c>
      <c r="E30" s="48"/>
      <c r="F30" s="49"/>
      <c r="G30" s="47"/>
    </row>
    <row r="31" spans="1:15" ht="18" x14ac:dyDescent="0.3">
      <c r="A31" s="41" t="s">
        <v>41</v>
      </c>
      <c r="B31" s="39">
        <v>15</v>
      </c>
      <c r="E31" s="48"/>
      <c r="F31" s="49"/>
      <c r="G31" s="47"/>
    </row>
    <row r="32" spans="1:15" ht="18" x14ac:dyDescent="0.3">
      <c r="A32" s="41" t="s">
        <v>31</v>
      </c>
      <c r="B32" s="39">
        <v>19</v>
      </c>
      <c r="E32" s="48"/>
      <c r="F32" s="49"/>
      <c r="G32" s="47"/>
    </row>
    <row r="33" spans="1:7" ht="18" x14ac:dyDescent="0.3">
      <c r="A33" s="41" t="s">
        <v>44</v>
      </c>
      <c r="B33" s="39">
        <v>13</v>
      </c>
      <c r="E33" s="48"/>
      <c r="F33" s="49"/>
      <c r="G33" s="47"/>
    </row>
    <row r="34" spans="1:7" ht="18" x14ac:dyDescent="0.3">
      <c r="A34" s="41" t="s">
        <v>163</v>
      </c>
      <c r="B34" s="39">
        <v>100</v>
      </c>
      <c r="E34" s="48"/>
      <c r="F34" s="49"/>
      <c r="G34" s="47"/>
    </row>
    <row r="35" spans="1:7" ht="18" x14ac:dyDescent="0.3">
      <c r="E35" s="46"/>
      <c r="F35" s="50"/>
      <c r="G35" s="47"/>
    </row>
    <row r="36" spans="1:7" x14ac:dyDescent="0.3">
      <c r="E36" s="47"/>
      <c r="F36" s="47"/>
      <c r="G36" s="47"/>
    </row>
    <row r="37" spans="1:7" x14ac:dyDescent="0.3">
      <c r="A37" s="40" t="s">
        <v>162</v>
      </c>
      <c r="B37" t="s">
        <v>164</v>
      </c>
    </row>
    <row r="38" spans="1:7" x14ac:dyDescent="0.3">
      <c r="A38" s="41" t="s">
        <v>34</v>
      </c>
      <c r="B38" s="42">
        <v>1073181</v>
      </c>
    </row>
    <row r="39" spans="1:7" x14ac:dyDescent="0.3">
      <c r="A39" s="41" t="s">
        <v>20</v>
      </c>
      <c r="B39" s="42">
        <v>835846</v>
      </c>
    </row>
    <row r="40" spans="1:7" x14ac:dyDescent="0.3">
      <c r="A40" s="41" t="s">
        <v>163</v>
      </c>
      <c r="B40" s="42">
        <v>1909027</v>
      </c>
    </row>
    <row r="43" spans="1:7" x14ac:dyDescent="0.3">
      <c r="A43" s="40" t="s">
        <v>162</v>
      </c>
      <c r="B43" t="s">
        <v>161</v>
      </c>
    </row>
    <row r="44" spans="1:7" x14ac:dyDescent="0.3">
      <c r="A44" s="41" t="s">
        <v>39</v>
      </c>
      <c r="B44" s="5">
        <v>21</v>
      </c>
    </row>
    <row r="45" spans="1:7" x14ac:dyDescent="0.3">
      <c r="A45" s="41" t="s">
        <v>19</v>
      </c>
      <c r="B45" s="5">
        <v>25</v>
      </c>
    </row>
    <row r="46" spans="1:7" x14ac:dyDescent="0.3">
      <c r="A46" s="41" t="s">
        <v>27</v>
      </c>
      <c r="B46" s="5">
        <v>28</v>
      </c>
    </row>
    <row r="47" spans="1:7" x14ac:dyDescent="0.3">
      <c r="A47" s="41" t="s">
        <v>33</v>
      </c>
      <c r="B47" s="5">
        <v>26</v>
      </c>
    </row>
    <row r="48" spans="1:7" x14ac:dyDescent="0.3">
      <c r="A48" s="41" t="s">
        <v>163</v>
      </c>
      <c r="B48" s="5">
        <v>100</v>
      </c>
    </row>
    <row r="51" spans="1:5" x14ac:dyDescent="0.3">
      <c r="A51" s="13" t="s">
        <v>150</v>
      </c>
      <c r="B51" s="13" t="s">
        <v>151</v>
      </c>
      <c r="C51" s="13" t="s">
        <v>152</v>
      </c>
      <c r="D51" s="13" t="s">
        <v>154</v>
      </c>
      <c r="E51" s="44" t="s">
        <v>160</v>
      </c>
    </row>
    <row r="52" spans="1:5" x14ac:dyDescent="0.3">
      <c r="A52" s="13">
        <v>100</v>
      </c>
      <c r="B52" s="45">
        <v>1909027</v>
      </c>
      <c r="C52" s="13">
        <v>2917.41</v>
      </c>
      <c r="D52" s="44">
        <v>0.66</v>
      </c>
      <c r="E52" s="44">
        <v>0.43</v>
      </c>
    </row>
  </sheetData>
  <sortState xmlns:xlrd2="http://schemas.microsoft.com/office/spreadsheetml/2017/richdata2" ref="E29:F34">
    <sortCondition descending="1" ref="F29:F34"/>
  </sortState>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994E-8E32-41DC-B77B-EC008F6DA93F}">
  <dimension ref="A1"/>
  <sheetViews>
    <sheetView showGridLines="0" tabSelected="1" zoomScale="57" zoomScaleNormal="99" workbookViewId="0">
      <selection activeCell="AD39" sqref="AD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Segmentation</vt:lpstr>
      <vt:lpstr>KPI </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Yugaesh S</dc:creator>
  <cp:lastModifiedBy>Yugaesh S</cp:lastModifiedBy>
  <dcterms:created xsi:type="dcterms:W3CDTF">2026-04-13T14:29:01Z</dcterms:created>
  <dcterms:modified xsi:type="dcterms:W3CDTF">2026-04-13T21:26:25Z</dcterms:modified>
</cp:coreProperties>
</file>